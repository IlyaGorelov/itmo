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98efbaf8250be4/Документы/Лабы/Информатика/lab5/"/>
    </mc:Choice>
  </mc:AlternateContent>
  <xr:revisionPtr revIDLastSave="5" documentId="8_{45FA001B-4696-4724-BA1C-7CC004FE8298}" xr6:coauthVersionLast="47" xr6:coauthVersionMax="47" xr10:uidLastSave="{D086411A-91FD-4A27-87BF-1A25EA41B208}"/>
  <bookViews>
    <workbookView xWindow="-110" yWindow="-110" windowWidth="25820" windowHeight="16220" xr2:uid="{CFE86058-9418-492A-BC55-B5FBF670C62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65" i="1" l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A57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A49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A41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A33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A25" i="1"/>
  <c r="AA17" i="1" l="1"/>
  <c r="AC3" i="1"/>
  <c r="C5" i="1"/>
  <c r="C11" i="1" s="1"/>
  <c r="K11" i="1" s="1"/>
  <c r="C4" i="1"/>
  <c r="A2" i="1"/>
  <c r="C10" i="1" l="1"/>
  <c r="AD60" i="1"/>
  <c r="AD20" i="1"/>
  <c r="K5" i="1"/>
  <c r="G4" i="1"/>
  <c r="H4" i="1" s="1" a="1"/>
  <c r="H4" i="1" s="1"/>
  <c r="J4" i="1" s="1"/>
  <c r="K4" i="1"/>
  <c r="G11" i="1"/>
  <c r="G10" i="1"/>
  <c r="G5" i="1"/>
  <c r="C6" i="1"/>
  <c r="AD28" i="1" s="1"/>
  <c r="C8" i="1"/>
  <c r="K10" i="1" l="1"/>
  <c r="AD36" i="1"/>
  <c r="AD44" i="1"/>
  <c r="I4" i="1"/>
  <c r="I10" i="1"/>
  <c r="H10" i="1" a="1"/>
  <c r="H10" i="1" s="1"/>
  <c r="J10" i="1" s="1"/>
  <c r="I5" i="1"/>
  <c r="H5" i="1" a="1"/>
  <c r="H5" i="1" s="1"/>
  <c r="J5" i="1" s="1"/>
  <c r="I11" i="1"/>
  <c r="H11" i="1" a="1"/>
  <c r="H11" i="1" s="1"/>
  <c r="J11" i="1" s="1"/>
  <c r="G8" i="1"/>
  <c r="H8" i="1" s="1" a="1"/>
  <c r="H8" i="1" s="1"/>
  <c r="J8" i="1" s="1"/>
  <c r="K8" i="1"/>
  <c r="G6" i="1"/>
  <c r="K6" i="1"/>
  <c r="C14" i="1"/>
  <c r="AD68" i="1" s="1"/>
  <c r="C12" i="1"/>
  <c r="AD52" i="1" s="1"/>
  <c r="C7" i="1"/>
  <c r="I8" i="1" l="1"/>
  <c r="AQ5" i="1"/>
  <c r="Y5" i="1" s="1"/>
  <c r="Y19" i="1" s="1"/>
  <c r="AE5" i="1"/>
  <c r="M5" i="1" s="1"/>
  <c r="M19" i="1" s="1"/>
  <c r="AF5" i="1"/>
  <c r="N5" i="1" s="1"/>
  <c r="N19" i="1" s="1"/>
  <c r="AR5" i="1"/>
  <c r="Z5" i="1" s="1"/>
  <c r="Z19" i="1" s="1"/>
  <c r="AS5" i="1"/>
  <c r="AA5" i="1" s="1"/>
  <c r="AA19" i="1" s="1"/>
  <c r="AI5" i="1"/>
  <c r="Q5" i="1" s="1"/>
  <c r="Q19" i="1" s="1"/>
  <c r="AL5" i="1"/>
  <c r="T5" i="1" s="1"/>
  <c r="T19" i="1" s="1"/>
  <c r="AJ5" i="1"/>
  <c r="R5" i="1" s="1"/>
  <c r="R19" i="1" s="1"/>
  <c r="AK5" i="1"/>
  <c r="S5" i="1" s="1"/>
  <c r="S19" i="1" s="1"/>
  <c r="AM5" i="1"/>
  <c r="U5" i="1" s="1"/>
  <c r="U19" i="1" s="1"/>
  <c r="AN5" i="1"/>
  <c r="V5" i="1" s="1"/>
  <c r="V19" i="1" s="1"/>
  <c r="AO5" i="1"/>
  <c r="W5" i="1" s="1"/>
  <c r="W19" i="1" s="1"/>
  <c r="AP5" i="1"/>
  <c r="X5" i="1" s="1"/>
  <c r="X19" i="1" s="1"/>
  <c r="AD5" i="1"/>
  <c r="L5" i="1" s="1"/>
  <c r="L19" i="1" s="1"/>
  <c r="AG5" i="1"/>
  <c r="O5" i="1" s="1"/>
  <c r="O19" i="1" s="1"/>
  <c r="AH5" i="1"/>
  <c r="P5" i="1" s="1"/>
  <c r="P19" i="1" s="1"/>
  <c r="AQ8" i="1"/>
  <c r="BH8" i="1" s="1"/>
  <c r="AE8" i="1"/>
  <c r="AV8" i="1" s="1"/>
  <c r="AF8" i="1"/>
  <c r="AW8" i="1" s="1"/>
  <c r="AJ8" i="1"/>
  <c r="BA8" i="1" s="1"/>
  <c r="AK8" i="1"/>
  <c r="BB8" i="1" s="1"/>
  <c r="AL8" i="1"/>
  <c r="BC8" i="1" s="1"/>
  <c r="AH8" i="1"/>
  <c r="P8" i="1" s="1"/>
  <c r="AN8" i="1"/>
  <c r="BE8" i="1" s="1"/>
  <c r="AI8" i="1"/>
  <c r="Q8" i="1" s="1"/>
  <c r="AM8" i="1"/>
  <c r="U8" i="1" s="1"/>
  <c r="AS8" i="1"/>
  <c r="BJ8" i="1" s="1"/>
  <c r="AO8" i="1"/>
  <c r="BF8" i="1" s="1"/>
  <c r="AP8" i="1"/>
  <c r="BG8" i="1" s="1"/>
  <c r="AR8" i="1"/>
  <c r="Z8" i="1" s="1"/>
  <c r="AG8" i="1"/>
  <c r="O8" i="1" s="1"/>
  <c r="AD8" i="1"/>
  <c r="AU8" i="1" s="1"/>
  <c r="Y8" i="1"/>
  <c r="AQ11" i="1"/>
  <c r="BH11" i="1" s="1"/>
  <c r="Y11" i="1" s="1"/>
  <c r="AE11" i="1"/>
  <c r="AV11" i="1" s="1"/>
  <c r="M11" i="1" s="1"/>
  <c r="AF11" i="1"/>
  <c r="AW11" i="1" s="1"/>
  <c r="N11" i="1" s="1"/>
  <c r="AJ11" i="1"/>
  <c r="BA11" i="1" s="1"/>
  <c r="R11" i="1" s="1"/>
  <c r="AK11" i="1"/>
  <c r="BB11" i="1" s="1"/>
  <c r="S11" i="1" s="1"/>
  <c r="AL11" i="1"/>
  <c r="BC11" i="1" s="1"/>
  <c r="T11" i="1" s="1"/>
  <c r="AM11" i="1"/>
  <c r="BD11" i="1" s="1"/>
  <c r="U11" i="1" s="1"/>
  <c r="AN11" i="1"/>
  <c r="BE11" i="1" s="1"/>
  <c r="V11" i="1" s="1"/>
  <c r="AO11" i="1"/>
  <c r="BF11" i="1" s="1"/>
  <c r="W11" i="1" s="1"/>
  <c r="AP11" i="1"/>
  <c r="BG11" i="1" s="1"/>
  <c r="X11" i="1" s="1"/>
  <c r="AR11" i="1"/>
  <c r="BI11" i="1" s="1"/>
  <c r="Z11" i="1" s="1"/>
  <c r="AS11" i="1"/>
  <c r="BJ11" i="1" s="1"/>
  <c r="AA11" i="1" s="1"/>
  <c r="AI11" i="1"/>
  <c r="AZ11" i="1" s="1"/>
  <c r="Q11" i="1" s="1"/>
  <c r="AG11" i="1"/>
  <c r="AX11" i="1" s="1"/>
  <c r="O11" i="1" s="1"/>
  <c r="AH11" i="1"/>
  <c r="AY11" i="1" s="1"/>
  <c r="P11" i="1" s="1"/>
  <c r="AD11" i="1"/>
  <c r="AU11" i="1" s="1"/>
  <c r="L11" i="1" s="1"/>
  <c r="AQ10" i="1"/>
  <c r="BH10" i="1" s="1"/>
  <c r="Y10" i="1" s="1"/>
  <c r="AE10" i="1"/>
  <c r="AV10" i="1" s="1"/>
  <c r="M10" i="1" s="1"/>
  <c r="AF10" i="1"/>
  <c r="AW10" i="1" s="1"/>
  <c r="N10" i="1" s="1"/>
  <c r="AP10" i="1"/>
  <c r="BG10" i="1" s="1"/>
  <c r="X10" i="1" s="1"/>
  <c r="AR10" i="1"/>
  <c r="BI10" i="1" s="1"/>
  <c r="Z10" i="1" s="1"/>
  <c r="AS10" i="1"/>
  <c r="BJ10" i="1" s="1"/>
  <c r="AA10" i="1" s="1"/>
  <c r="AD10" i="1"/>
  <c r="AU10" i="1" s="1"/>
  <c r="L10" i="1" s="1"/>
  <c r="AK10" i="1"/>
  <c r="BB10" i="1" s="1"/>
  <c r="S10" i="1" s="1"/>
  <c r="AG10" i="1"/>
  <c r="AX10" i="1" s="1"/>
  <c r="O10" i="1" s="1"/>
  <c r="AN10" i="1"/>
  <c r="BE10" i="1" s="1"/>
  <c r="V10" i="1" s="1"/>
  <c r="AH10" i="1"/>
  <c r="AY10" i="1" s="1"/>
  <c r="P10" i="1" s="1"/>
  <c r="AI10" i="1"/>
  <c r="AZ10" i="1" s="1"/>
  <c r="Q10" i="1" s="1"/>
  <c r="AJ10" i="1"/>
  <c r="BA10" i="1" s="1"/>
  <c r="R10" i="1" s="1"/>
  <c r="AL10" i="1"/>
  <c r="BC10" i="1" s="1"/>
  <c r="T10" i="1" s="1"/>
  <c r="AM10" i="1"/>
  <c r="BD10" i="1" s="1"/>
  <c r="U10" i="1" s="1"/>
  <c r="AO10" i="1"/>
  <c r="BF10" i="1" s="1"/>
  <c r="W10" i="1" s="1"/>
  <c r="AE4" i="1"/>
  <c r="AF4" i="1"/>
  <c r="AK4" i="1"/>
  <c r="AL4" i="1"/>
  <c r="AM4" i="1"/>
  <c r="AH4" i="1"/>
  <c r="AR4" i="1"/>
  <c r="AI4" i="1"/>
  <c r="AJ4" i="1"/>
  <c r="AN4" i="1"/>
  <c r="AS4" i="1"/>
  <c r="AO4" i="1"/>
  <c r="AP4" i="1"/>
  <c r="AQ4" i="1"/>
  <c r="AD4" i="1"/>
  <c r="AG4" i="1"/>
  <c r="I6" i="1"/>
  <c r="H6" i="1" a="1"/>
  <c r="H6" i="1" s="1"/>
  <c r="J6" i="1" s="1"/>
  <c r="K12" i="1"/>
  <c r="G12" i="1"/>
  <c r="K14" i="1"/>
  <c r="G14" i="1"/>
  <c r="G7" i="1"/>
  <c r="K7" i="1"/>
  <c r="C13" i="1"/>
  <c r="C9" i="1"/>
  <c r="V42" i="1" l="1"/>
  <c r="V35" i="1"/>
  <c r="R42" i="1"/>
  <c r="R35" i="1"/>
  <c r="AA42" i="1"/>
  <c r="AA35" i="1"/>
  <c r="Z42" i="1"/>
  <c r="Z35" i="1"/>
  <c r="X42" i="1"/>
  <c r="X35" i="1"/>
  <c r="T42" i="1"/>
  <c r="T35" i="1"/>
  <c r="Q42" i="1"/>
  <c r="Q35" i="1"/>
  <c r="L35" i="1"/>
  <c r="L42" i="1"/>
  <c r="N35" i="1"/>
  <c r="N42" i="1"/>
  <c r="M35" i="1"/>
  <c r="M42" i="1"/>
  <c r="Y42" i="1"/>
  <c r="Y35" i="1"/>
  <c r="W42" i="1"/>
  <c r="W35" i="1"/>
  <c r="P42" i="1"/>
  <c r="P35" i="1"/>
  <c r="O35" i="1"/>
  <c r="O42" i="1"/>
  <c r="S42" i="1"/>
  <c r="S35" i="1"/>
  <c r="U42" i="1"/>
  <c r="U35" i="1"/>
  <c r="BD5" i="1"/>
  <c r="T8" i="1"/>
  <c r="S8" i="1"/>
  <c r="BB5" i="1"/>
  <c r="BC5" i="1"/>
  <c r="BJ5" i="1"/>
  <c r="BA5" i="1"/>
  <c r="R8" i="1"/>
  <c r="M8" i="1"/>
  <c r="BI5" i="1"/>
  <c r="L8" i="1"/>
  <c r="AA8" i="1"/>
  <c r="X8" i="1"/>
  <c r="V8" i="1"/>
  <c r="AZ8" i="1"/>
  <c r="AY8" i="1"/>
  <c r="AU5" i="1"/>
  <c r="BD8" i="1"/>
  <c r="AZ5" i="1"/>
  <c r="AY5" i="1"/>
  <c r="BC4" i="1"/>
  <c r="T4" i="1"/>
  <c r="N8" i="1"/>
  <c r="AW5" i="1"/>
  <c r="W8" i="1"/>
  <c r="BG5" i="1"/>
  <c r="BF5" i="1"/>
  <c r="BA4" i="1"/>
  <c r="R4" i="1"/>
  <c r="AX8" i="1"/>
  <c r="BE5" i="1"/>
  <c r="AY4" i="1"/>
  <c r="P4" i="1"/>
  <c r="BI8" i="1"/>
  <c r="AX5" i="1"/>
  <c r="AW4" i="1"/>
  <c r="N4" i="1"/>
  <c r="AV5" i="1"/>
  <c r="AX4" i="1"/>
  <c r="O4" i="1"/>
  <c r="AU4" i="1"/>
  <c r="L4" i="1"/>
  <c r="BH4" i="1"/>
  <c r="Y4" i="1"/>
  <c r="BG4" i="1"/>
  <c r="X4" i="1"/>
  <c r="BF4" i="1"/>
  <c r="W4" i="1"/>
  <c r="AA4" i="1"/>
  <c r="BJ4" i="1"/>
  <c r="BE4" i="1"/>
  <c r="V4" i="1"/>
  <c r="Q4" i="1"/>
  <c r="AZ4" i="1"/>
  <c r="Z4" i="1"/>
  <c r="BI4" i="1"/>
  <c r="U4" i="1"/>
  <c r="BD4" i="1"/>
  <c r="BB4" i="1"/>
  <c r="S4" i="1"/>
  <c r="AQ6" i="1"/>
  <c r="Y6" i="1" s="1"/>
  <c r="AE6" i="1"/>
  <c r="M6" i="1" s="1"/>
  <c r="AF6" i="1"/>
  <c r="N6" i="1" s="1"/>
  <c r="AD6" i="1"/>
  <c r="L6" i="1" s="1"/>
  <c r="AO6" i="1"/>
  <c r="W6" i="1" s="1"/>
  <c r="AI6" i="1"/>
  <c r="Q6" i="1" s="1"/>
  <c r="AP6" i="1"/>
  <c r="X6" i="1" s="1"/>
  <c r="AR6" i="1"/>
  <c r="Z6" i="1" s="1"/>
  <c r="AS6" i="1"/>
  <c r="AA6" i="1" s="1"/>
  <c r="AG6" i="1"/>
  <c r="O6" i="1" s="1"/>
  <c r="AH6" i="1"/>
  <c r="P6" i="1" s="1"/>
  <c r="AJ6" i="1"/>
  <c r="R6" i="1" s="1"/>
  <c r="AL6" i="1"/>
  <c r="T6" i="1" s="1"/>
  <c r="AM6" i="1"/>
  <c r="U6" i="1" s="1"/>
  <c r="AN6" i="1"/>
  <c r="V6" i="1" s="1"/>
  <c r="AK6" i="1"/>
  <c r="S6" i="1" s="1"/>
  <c r="AV4" i="1"/>
  <c r="M4" i="1"/>
  <c r="BH5" i="1"/>
  <c r="I7" i="1"/>
  <c r="H7" i="1" a="1"/>
  <c r="H7" i="1" s="1"/>
  <c r="J7" i="1" s="1"/>
  <c r="I14" i="1"/>
  <c r="H14" i="1" a="1"/>
  <c r="H14" i="1" s="1"/>
  <c r="J14" i="1" s="1"/>
  <c r="I12" i="1"/>
  <c r="H12" i="1" a="1"/>
  <c r="H12" i="1" s="1"/>
  <c r="J12" i="1" s="1"/>
  <c r="K9" i="1"/>
  <c r="G9" i="1"/>
  <c r="H9" i="1" s="1" a="1"/>
  <c r="H9" i="1" s="1"/>
  <c r="J9" i="1" s="1"/>
  <c r="K13" i="1"/>
  <c r="G13" i="1"/>
  <c r="C15" i="1"/>
  <c r="I9" i="1"/>
  <c r="M67" i="1" l="1"/>
  <c r="M27" i="1"/>
  <c r="S67" i="1"/>
  <c r="S27" i="1"/>
  <c r="V27" i="1"/>
  <c r="V67" i="1"/>
  <c r="U18" i="1"/>
  <c r="U58" i="1"/>
  <c r="W18" i="1"/>
  <c r="W58" i="1"/>
  <c r="M18" i="1"/>
  <c r="M58" i="1"/>
  <c r="Y27" i="1"/>
  <c r="Y67" i="1"/>
  <c r="R18" i="1"/>
  <c r="R58" i="1"/>
  <c r="S18" i="1"/>
  <c r="S58" i="1"/>
  <c r="L18" i="1"/>
  <c r="L58" i="1"/>
  <c r="T67" i="1"/>
  <c r="T27" i="1"/>
  <c r="R67" i="1"/>
  <c r="R27" i="1"/>
  <c r="O18" i="1"/>
  <c r="O58" i="1"/>
  <c r="P67" i="1"/>
  <c r="P27" i="1"/>
  <c r="Z44" i="1"/>
  <c r="O67" i="1"/>
  <c r="O27" i="1"/>
  <c r="T18" i="1"/>
  <c r="T58" i="1"/>
  <c r="AA36" i="1"/>
  <c r="Z33" i="1"/>
  <c r="Z36" i="1" s="1"/>
  <c r="AA27" i="1"/>
  <c r="AA67" i="1"/>
  <c r="N18" i="1"/>
  <c r="N58" i="1"/>
  <c r="AA44" i="1"/>
  <c r="Z41" i="1"/>
  <c r="Y41" i="1" s="1"/>
  <c r="X41" i="1" s="1"/>
  <c r="W41" i="1" s="1"/>
  <c r="V46" i="1" s="1"/>
  <c r="V18" i="1"/>
  <c r="V58" i="1"/>
  <c r="X27" i="1"/>
  <c r="X67" i="1"/>
  <c r="Q67" i="1"/>
  <c r="Q27" i="1"/>
  <c r="L27" i="1"/>
  <c r="L67" i="1"/>
  <c r="N67" i="1"/>
  <c r="N27" i="1"/>
  <c r="X18" i="1"/>
  <c r="X58" i="1"/>
  <c r="Y18" i="1"/>
  <c r="Y58" i="1"/>
  <c r="U27" i="1"/>
  <c r="U67" i="1"/>
  <c r="Z18" i="1"/>
  <c r="Z58" i="1"/>
  <c r="W44" i="1"/>
  <c r="V41" i="1"/>
  <c r="V44" i="1" s="1"/>
  <c r="Q18" i="1"/>
  <c r="Q58" i="1"/>
  <c r="Z27" i="1"/>
  <c r="Z67" i="1"/>
  <c r="W27" i="1"/>
  <c r="W67" i="1"/>
  <c r="AA18" i="1"/>
  <c r="AA58" i="1"/>
  <c r="P18" i="1"/>
  <c r="P58" i="1"/>
  <c r="BI6" i="1"/>
  <c r="BG6" i="1"/>
  <c r="BF6" i="1"/>
  <c r="BJ6" i="1"/>
  <c r="AZ6" i="1"/>
  <c r="AU6" i="1"/>
  <c r="AV6" i="1"/>
  <c r="AY6" i="1"/>
  <c r="AX6" i="1"/>
  <c r="BE6" i="1"/>
  <c r="AQ9" i="1"/>
  <c r="Y9" i="1" s="1"/>
  <c r="AE9" i="1"/>
  <c r="M9" i="1" s="1"/>
  <c r="AF9" i="1"/>
  <c r="N9" i="1" s="1"/>
  <c r="AM9" i="1"/>
  <c r="U9" i="1" s="1"/>
  <c r="AN9" i="1"/>
  <c r="V9" i="1" s="1"/>
  <c r="AO9" i="1"/>
  <c r="BF9" i="1" s="1"/>
  <c r="AR9" i="1"/>
  <c r="Z9" i="1" s="1"/>
  <c r="AG9" i="1"/>
  <c r="O9" i="1" s="1"/>
  <c r="AI9" i="1"/>
  <c r="Q9" i="1" s="1"/>
  <c r="AS9" i="1"/>
  <c r="BJ9" i="1" s="1"/>
  <c r="AD9" i="1"/>
  <c r="AU9" i="1" s="1"/>
  <c r="AH9" i="1"/>
  <c r="P9" i="1" s="1"/>
  <c r="AJ9" i="1"/>
  <c r="R9" i="1" s="1"/>
  <c r="AK9" i="1"/>
  <c r="S9" i="1" s="1"/>
  <c r="AL9" i="1"/>
  <c r="T9" i="1" s="1"/>
  <c r="AP9" i="1"/>
  <c r="BG9" i="1" s="1"/>
  <c r="BC9" i="1"/>
  <c r="AQ12" i="1"/>
  <c r="AE12" i="1"/>
  <c r="AF12" i="1"/>
  <c r="AW12" i="1" s="1"/>
  <c r="N12" i="1" s="1"/>
  <c r="N51" i="1" s="1"/>
  <c r="AD12" i="1"/>
  <c r="AU12" i="1" s="1"/>
  <c r="L12" i="1" s="1"/>
  <c r="L51" i="1" s="1"/>
  <c r="AG12" i="1"/>
  <c r="AX12" i="1" s="1"/>
  <c r="O12" i="1" s="1"/>
  <c r="O51" i="1" s="1"/>
  <c r="AH12" i="1"/>
  <c r="AY12" i="1" s="1"/>
  <c r="P12" i="1" s="1"/>
  <c r="P51" i="1" s="1"/>
  <c r="AP12" i="1"/>
  <c r="BG12" i="1" s="1"/>
  <c r="X12" i="1" s="1"/>
  <c r="X51" i="1" s="1"/>
  <c r="AS12" i="1"/>
  <c r="BJ12" i="1" s="1"/>
  <c r="AA12" i="1" s="1"/>
  <c r="AA51" i="1" s="1"/>
  <c r="AR12" i="1"/>
  <c r="BI12" i="1" s="1"/>
  <c r="Z12" i="1" s="1"/>
  <c r="Z51" i="1" s="1"/>
  <c r="AI12" i="1"/>
  <c r="AZ12" i="1" s="1"/>
  <c r="Q12" i="1" s="1"/>
  <c r="Q51" i="1" s="1"/>
  <c r="AK12" i="1"/>
  <c r="BB12" i="1" s="1"/>
  <c r="S12" i="1" s="1"/>
  <c r="S51" i="1" s="1"/>
  <c r="AJ12" i="1"/>
  <c r="BA12" i="1" s="1"/>
  <c r="R12" i="1" s="1"/>
  <c r="R51" i="1" s="1"/>
  <c r="AM12" i="1"/>
  <c r="BD12" i="1" s="1"/>
  <c r="U12" i="1" s="1"/>
  <c r="U51" i="1" s="1"/>
  <c r="AN12" i="1"/>
  <c r="BE12" i="1" s="1"/>
  <c r="V12" i="1" s="1"/>
  <c r="V51" i="1" s="1"/>
  <c r="AO12" i="1"/>
  <c r="BF12" i="1" s="1"/>
  <c r="W12" i="1" s="1"/>
  <c r="W51" i="1" s="1"/>
  <c r="AL12" i="1"/>
  <c r="BC12" i="1" s="1"/>
  <c r="T12" i="1" s="1"/>
  <c r="T51" i="1" s="1"/>
  <c r="AQ14" i="1"/>
  <c r="BH14" i="1" s="1"/>
  <c r="Y14" i="1" s="1"/>
  <c r="Y66" i="1" s="1"/>
  <c r="AE14" i="1"/>
  <c r="AV14" i="1" s="1"/>
  <c r="M14" i="1" s="1"/>
  <c r="M66" i="1" s="1"/>
  <c r="AF14" i="1"/>
  <c r="AW14" i="1" s="1"/>
  <c r="N14" i="1" s="1"/>
  <c r="N66" i="1" s="1"/>
  <c r="AK14" i="1"/>
  <c r="BB14" i="1" s="1"/>
  <c r="S14" i="1" s="1"/>
  <c r="S66" i="1" s="1"/>
  <c r="AL14" i="1"/>
  <c r="BC14" i="1" s="1"/>
  <c r="T14" i="1" s="1"/>
  <c r="T66" i="1" s="1"/>
  <c r="AM14" i="1"/>
  <c r="BD14" i="1" s="1"/>
  <c r="U14" i="1" s="1"/>
  <c r="U66" i="1" s="1"/>
  <c r="AP14" i="1"/>
  <c r="BG14" i="1" s="1"/>
  <c r="X14" i="1" s="1"/>
  <c r="X66" i="1" s="1"/>
  <c r="AS14" i="1"/>
  <c r="BJ14" i="1" s="1"/>
  <c r="AA14" i="1" s="1"/>
  <c r="AA66" i="1" s="1"/>
  <c r="AR14" i="1"/>
  <c r="BI14" i="1" s="1"/>
  <c r="Z14" i="1" s="1"/>
  <c r="Z66" i="1" s="1"/>
  <c r="AG14" i="1"/>
  <c r="AX14" i="1" s="1"/>
  <c r="O14" i="1" s="1"/>
  <c r="O66" i="1" s="1"/>
  <c r="AD14" i="1"/>
  <c r="AU14" i="1" s="1"/>
  <c r="L14" i="1" s="1"/>
  <c r="L66" i="1" s="1"/>
  <c r="AH14" i="1"/>
  <c r="AY14" i="1" s="1"/>
  <c r="P14" i="1" s="1"/>
  <c r="P66" i="1" s="1"/>
  <c r="AN14" i="1"/>
  <c r="BE14" i="1" s="1"/>
  <c r="V14" i="1" s="1"/>
  <c r="V66" i="1" s="1"/>
  <c r="AI14" i="1"/>
  <c r="AZ14" i="1" s="1"/>
  <c r="Q14" i="1" s="1"/>
  <c r="Q66" i="1" s="1"/>
  <c r="AJ14" i="1"/>
  <c r="BA14" i="1" s="1"/>
  <c r="R14" i="1" s="1"/>
  <c r="R66" i="1" s="1"/>
  <c r="AO14" i="1"/>
  <c r="BF14" i="1" s="1"/>
  <c r="W14" i="1" s="1"/>
  <c r="W66" i="1" s="1"/>
  <c r="BC6" i="1"/>
  <c r="AQ7" i="1"/>
  <c r="Y7" i="1" s="1"/>
  <c r="AE7" i="1"/>
  <c r="M7" i="1" s="1"/>
  <c r="AF7" i="1"/>
  <c r="N7" i="1" s="1"/>
  <c r="AG7" i="1"/>
  <c r="O7" i="1" s="1"/>
  <c r="AH7" i="1"/>
  <c r="P7" i="1" s="1"/>
  <c r="AI7" i="1"/>
  <c r="Q7" i="1" s="1"/>
  <c r="AM7" i="1"/>
  <c r="U7" i="1" s="1"/>
  <c r="AD7" i="1"/>
  <c r="L7" i="1" s="1"/>
  <c r="AJ7" i="1"/>
  <c r="R7" i="1" s="1"/>
  <c r="AK7" i="1"/>
  <c r="S7" i="1" s="1"/>
  <c r="AL7" i="1"/>
  <c r="T7" i="1" s="1"/>
  <c r="AN7" i="1"/>
  <c r="V7" i="1" s="1"/>
  <c r="AO7" i="1"/>
  <c r="W7" i="1" s="1"/>
  <c r="AP7" i="1"/>
  <c r="X7" i="1" s="1"/>
  <c r="AR7" i="1"/>
  <c r="Z7" i="1" s="1"/>
  <c r="AS7" i="1"/>
  <c r="AA7" i="1" s="1"/>
  <c r="BA6" i="1"/>
  <c r="BH6" i="1"/>
  <c r="BD6" i="1"/>
  <c r="BH12" i="1"/>
  <c r="Y12" i="1" s="1"/>
  <c r="Y51" i="1" s="1"/>
  <c r="AV12" i="1"/>
  <c r="M12" i="1" s="1"/>
  <c r="M51" i="1" s="1"/>
  <c r="BB6" i="1"/>
  <c r="AW6" i="1"/>
  <c r="I13" i="1"/>
  <c r="H13" i="1" a="1"/>
  <c r="H13" i="1" s="1"/>
  <c r="J13" i="1" s="1"/>
  <c r="K15" i="1"/>
  <c r="G15" i="1"/>
  <c r="X44" i="1" l="1"/>
  <c r="AA68" i="1"/>
  <c r="Z65" i="1"/>
  <c r="Y65" i="1" s="1"/>
  <c r="X65" i="1" s="1"/>
  <c r="W65" i="1" s="1"/>
  <c r="V70" i="1" s="1"/>
  <c r="U41" i="1"/>
  <c r="AA52" i="1"/>
  <c r="Z49" i="1"/>
  <c r="Y49" i="1" s="1"/>
  <c r="X49" i="1" s="1"/>
  <c r="W49" i="1" s="1"/>
  <c r="V54" i="1" s="1"/>
  <c r="Z25" i="1"/>
  <c r="Z28" i="1" s="1"/>
  <c r="AA28" i="1"/>
  <c r="Y52" i="1"/>
  <c r="AA60" i="1"/>
  <c r="Z57" i="1"/>
  <c r="Y57" i="1" s="1"/>
  <c r="X57" i="1" s="1"/>
  <c r="W57" i="1" s="1"/>
  <c r="V62" i="1" s="1"/>
  <c r="Y33" i="1"/>
  <c r="Z68" i="1"/>
  <c r="AA20" i="1"/>
  <c r="Z17" i="1"/>
  <c r="Y17" i="1" s="1"/>
  <c r="X17" i="1" s="1"/>
  <c r="W17" i="1" s="1"/>
  <c r="W20" i="1" s="1"/>
  <c r="Y44" i="1"/>
  <c r="BD9" i="1"/>
  <c r="AV9" i="1"/>
  <c r="BJ7" i="1"/>
  <c r="BD7" i="1"/>
  <c r="BH9" i="1"/>
  <c r="BE7" i="1"/>
  <c r="BE9" i="1"/>
  <c r="BG7" i="1"/>
  <c r="BI7" i="1"/>
  <c r="BF7" i="1"/>
  <c r="X9" i="1"/>
  <c r="AY7" i="1"/>
  <c r="AX7" i="1"/>
  <c r="BB9" i="1"/>
  <c r="BA9" i="1"/>
  <c r="AV7" i="1"/>
  <c r="AW7" i="1"/>
  <c r="AZ9" i="1"/>
  <c r="BH7" i="1"/>
  <c r="AY9" i="1"/>
  <c r="AX9" i="1"/>
  <c r="L9" i="1"/>
  <c r="AW9" i="1"/>
  <c r="AU7" i="1"/>
  <c r="W9" i="1"/>
  <c r="BB7" i="1"/>
  <c r="BA7" i="1"/>
  <c r="AE13" i="1"/>
  <c r="AV13" i="1" s="1"/>
  <c r="M13" i="1" s="1"/>
  <c r="AF13" i="1"/>
  <c r="AW13" i="1" s="1"/>
  <c r="N13" i="1" s="1"/>
  <c r="AI13" i="1"/>
  <c r="AZ13" i="1" s="1"/>
  <c r="Q13" i="1" s="1"/>
  <c r="AJ13" i="1"/>
  <c r="BA13" i="1" s="1"/>
  <c r="R13" i="1" s="1"/>
  <c r="AK13" i="1"/>
  <c r="BB13" i="1" s="1"/>
  <c r="S13" i="1" s="1"/>
  <c r="AD13" i="1"/>
  <c r="AU13" i="1" s="1"/>
  <c r="L13" i="1" s="1"/>
  <c r="AM13" i="1"/>
  <c r="BD13" i="1" s="1"/>
  <c r="U13" i="1" s="1"/>
  <c r="AG13" i="1"/>
  <c r="AX13" i="1" s="1"/>
  <c r="O13" i="1" s="1"/>
  <c r="AH13" i="1"/>
  <c r="AY13" i="1" s="1"/>
  <c r="P13" i="1" s="1"/>
  <c r="AL13" i="1"/>
  <c r="BC13" i="1" s="1"/>
  <c r="T13" i="1" s="1"/>
  <c r="AN13" i="1"/>
  <c r="BE13" i="1" s="1"/>
  <c r="V13" i="1" s="1"/>
  <c r="AO13" i="1"/>
  <c r="BF13" i="1" s="1"/>
  <c r="W13" i="1" s="1"/>
  <c r="AP13" i="1"/>
  <c r="BG13" i="1" s="1"/>
  <c r="X13" i="1" s="1"/>
  <c r="AQ13" i="1"/>
  <c r="BH13" i="1" s="1"/>
  <c r="Y13" i="1" s="1"/>
  <c r="AR13" i="1"/>
  <c r="BI13" i="1" s="1"/>
  <c r="Z13" i="1" s="1"/>
  <c r="AS13" i="1"/>
  <c r="BJ13" i="1" s="1"/>
  <c r="AA13" i="1" s="1"/>
  <c r="AA9" i="1"/>
  <c r="BC7" i="1"/>
  <c r="BI9" i="1"/>
  <c r="AZ7" i="1"/>
  <c r="I15" i="1"/>
  <c r="H15" i="1" a="1"/>
  <c r="H15" i="1" s="1"/>
  <c r="J15" i="1" s="1"/>
  <c r="V57" i="1" l="1"/>
  <c r="W60" i="1"/>
  <c r="Y60" i="1"/>
  <c r="W52" i="1"/>
  <c r="Z60" i="1"/>
  <c r="Y25" i="1"/>
  <c r="X25" i="1" s="1"/>
  <c r="W25" i="1" s="1"/>
  <c r="V30" i="1" s="1"/>
  <c r="X52" i="1"/>
  <c r="V25" i="1"/>
  <c r="Z20" i="1"/>
  <c r="T41" i="1"/>
  <c r="U44" i="1"/>
  <c r="W28" i="1"/>
  <c r="X33" i="1"/>
  <c r="Y36" i="1"/>
  <c r="X68" i="1"/>
  <c r="W68" i="1"/>
  <c r="V65" i="1"/>
  <c r="V17" i="1"/>
  <c r="V22" i="1"/>
  <c r="Y20" i="1"/>
  <c r="Y28" i="1"/>
  <c r="X20" i="1"/>
  <c r="Y68" i="1"/>
  <c r="V49" i="1"/>
  <c r="X60" i="1"/>
  <c r="Z52" i="1"/>
  <c r="AQ15" i="1"/>
  <c r="BH15" i="1" s="1"/>
  <c r="Y15" i="1" s="1"/>
  <c r="AE15" i="1"/>
  <c r="AF15" i="1"/>
  <c r="AN15" i="1"/>
  <c r="BE15" i="1" s="1"/>
  <c r="V15" i="1" s="1"/>
  <c r="AO15" i="1"/>
  <c r="BF15" i="1" s="1"/>
  <c r="W15" i="1" s="1"/>
  <c r="AP15" i="1"/>
  <c r="BG15" i="1" s="1"/>
  <c r="X15" i="1" s="1"/>
  <c r="AD15" i="1"/>
  <c r="AU15" i="1" s="1"/>
  <c r="L15" i="1" s="1"/>
  <c r="AL15" i="1"/>
  <c r="BC15" i="1" s="1"/>
  <c r="T15" i="1" s="1"/>
  <c r="AR15" i="1"/>
  <c r="BI15" i="1" s="1"/>
  <c r="Z15" i="1" s="1"/>
  <c r="AG15" i="1"/>
  <c r="AX15" i="1" s="1"/>
  <c r="O15" i="1" s="1"/>
  <c r="AH15" i="1"/>
  <c r="AY15" i="1" s="1"/>
  <c r="P15" i="1" s="1"/>
  <c r="AI15" i="1"/>
  <c r="AZ15" i="1" s="1"/>
  <c r="Q15" i="1" s="1"/>
  <c r="AJ15" i="1"/>
  <c r="BA15" i="1" s="1"/>
  <c r="R15" i="1" s="1"/>
  <c r="AK15" i="1"/>
  <c r="BB15" i="1" s="1"/>
  <c r="S15" i="1" s="1"/>
  <c r="AM15" i="1"/>
  <c r="BD15" i="1" s="1"/>
  <c r="U15" i="1" s="1"/>
  <c r="AS15" i="1"/>
  <c r="BJ15" i="1" s="1"/>
  <c r="AA15" i="1" s="1"/>
  <c r="AV15" i="1"/>
  <c r="M15" i="1" s="1"/>
  <c r="AW15" i="1"/>
  <c r="N15" i="1" s="1"/>
  <c r="X28" i="1" l="1"/>
  <c r="U57" i="1"/>
  <c r="V60" i="1"/>
  <c r="V68" i="1"/>
  <c r="U65" i="1"/>
  <c r="W33" i="1"/>
  <c r="X36" i="1"/>
  <c r="U17" i="1"/>
  <c r="V20" i="1"/>
  <c r="U49" i="1"/>
  <c r="V52" i="1"/>
  <c r="V28" i="1"/>
  <c r="U25" i="1"/>
  <c r="T44" i="1"/>
  <c r="R46" i="1" s="1"/>
  <c r="S41" i="1"/>
  <c r="T57" i="1" l="1"/>
  <c r="U60" i="1"/>
  <c r="T65" i="1"/>
  <c r="U68" i="1"/>
  <c r="S44" i="1"/>
  <c r="R41" i="1"/>
  <c r="U28" i="1"/>
  <c r="T25" i="1"/>
  <c r="U52" i="1"/>
  <c r="T49" i="1"/>
  <c r="T17" i="1"/>
  <c r="U20" i="1"/>
  <c r="V38" i="1"/>
  <c r="W36" i="1"/>
  <c r="V33" i="1"/>
  <c r="T60" i="1" l="1"/>
  <c r="R62" i="1" s="1"/>
  <c r="S57" i="1"/>
  <c r="U33" i="1"/>
  <c r="V36" i="1"/>
  <c r="T28" i="1"/>
  <c r="R30" i="1" s="1"/>
  <c r="S25" i="1"/>
  <c r="S17" i="1"/>
  <c r="T20" i="1"/>
  <c r="R22" i="1" s="1"/>
  <c r="S49" i="1"/>
  <c r="T52" i="1"/>
  <c r="R54" i="1" s="1"/>
  <c r="R44" i="1"/>
  <c r="Q41" i="1"/>
  <c r="S65" i="1"/>
  <c r="T68" i="1"/>
  <c r="R70" i="1" s="1"/>
  <c r="S60" i="1" l="1"/>
  <c r="R57" i="1"/>
  <c r="Q44" i="1"/>
  <c r="P41" i="1"/>
  <c r="R65" i="1"/>
  <c r="S68" i="1"/>
  <c r="S52" i="1"/>
  <c r="R49" i="1"/>
  <c r="R17" i="1"/>
  <c r="S20" i="1"/>
  <c r="S28" i="1"/>
  <c r="R25" i="1"/>
  <c r="U36" i="1"/>
  <c r="T33" i="1"/>
  <c r="Q57" i="1" l="1"/>
  <c r="R60" i="1"/>
  <c r="T36" i="1"/>
  <c r="R38" i="1" s="1"/>
  <c r="S33" i="1"/>
  <c r="R28" i="1"/>
  <c r="Q25" i="1"/>
  <c r="Q17" i="1"/>
  <c r="R20" i="1"/>
  <c r="P44" i="1"/>
  <c r="O41" i="1"/>
  <c r="Q49" i="1"/>
  <c r="R52" i="1"/>
  <c r="Q65" i="1"/>
  <c r="R68" i="1"/>
  <c r="Q60" i="1" l="1"/>
  <c r="P57" i="1"/>
  <c r="Q52" i="1"/>
  <c r="P49" i="1"/>
  <c r="P65" i="1"/>
  <c r="Q68" i="1"/>
  <c r="O44" i="1"/>
  <c r="N41" i="1"/>
  <c r="P25" i="1"/>
  <c r="Q28" i="1"/>
  <c r="S36" i="1"/>
  <c r="R33" i="1"/>
  <c r="P17" i="1"/>
  <c r="Q20" i="1"/>
  <c r="P60" i="1" l="1"/>
  <c r="O57" i="1"/>
  <c r="O65" i="1"/>
  <c r="P68" i="1"/>
  <c r="P20" i="1"/>
  <c r="O17" i="1"/>
  <c r="M41" i="1"/>
  <c r="N44" i="1"/>
  <c r="O49" i="1"/>
  <c r="P52" i="1"/>
  <c r="R36" i="1"/>
  <c r="Q33" i="1"/>
  <c r="P28" i="1"/>
  <c r="O25" i="1"/>
  <c r="N57" i="1" l="1"/>
  <c r="O60" i="1"/>
  <c r="Q36" i="1"/>
  <c r="P33" i="1"/>
  <c r="O28" i="1"/>
  <c r="N25" i="1"/>
  <c r="N49" i="1"/>
  <c r="O52" i="1"/>
  <c r="M44" i="1"/>
  <c r="H45" i="1" s="1" a="1"/>
  <c r="H45" i="1" s="1"/>
  <c r="L41" i="1"/>
  <c r="O20" i="1"/>
  <c r="N17" i="1"/>
  <c r="N65" i="1"/>
  <c r="O68" i="1"/>
  <c r="M57" i="1" l="1"/>
  <c r="N60" i="1"/>
  <c r="M65" i="1"/>
  <c r="N68" i="1"/>
  <c r="M49" i="1"/>
  <c r="N52" i="1"/>
  <c r="N28" i="1"/>
  <c r="M25" i="1"/>
  <c r="M17" i="1"/>
  <c r="N20" i="1"/>
  <c r="N46" i="1"/>
  <c r="L44" i="1"/>
  <c r="P36" i="1"/>
  <c r="O33" i="1"/>
  <c r="L57" i="1" l="1"/>
  <c r="M60" i="1"/>
  <c r="H61" i="1" s="1" a="1"/>
  <c r="H61" i="1" s="1"/>
  <c r="L45" i="1"/>
  <c r="X45" i="1"/>
  <c r="V45" i="1"/>
  <c r="S45" i="1"/>
  <c r="M45" i="1"/>
  <c r="P45" i="1"/>
  <c r="Z45" i="1"/>
  <c r="W45" i="1"/>
  <c r="U45" i="1"/>
  <c r="T45" i="1"/>
  <c r="R45" i="1"/>
  <c r="Q45" i="1"/>
  <c r="Y45" i="1"/>
  <c r="O45" i="1"/>
  <c r="N45" i="1"/>
  <c r="AA45" i="1"/>
  <c r="N47" i="1"/>
  <c r="R47" i="1"/>
  <c r="V47" i="1"/>
  <c r="L17" i="1"/>
  <c r="M20" i="1"/>
  <c r="H21" i="1" s="1" a="1"/>
  <c r="H21" i="1" s="1"/>
  <c r="M28" i="1"/>
  <c r="H29" i="1" s="1" a="1"/>
  <c r="H29" i="1" s="1"/>
  <c r="L25" i="1"/>
  <c r="O36" i="1"/>
  <c r="N33" i="1"/>
  <c r="M52" i="1"/>
  <c r="H53" i="1" s="1" a="1"/>
  <c r="H53" i="1" s="1"/>
  <c r="L49" i="1"/>
  <c r="L65" i="1"/>
  <c r="M68" i="1"/>
  <c r="H69" i="1" s="1" a="1"/>
  <c r="H69" i="1" s="1"/>
  <c r="N62" i="1" l="1"/>
  <c r="L60" i="1"/>
  <c r="N30" i="1"/>
  <c r="L28" i="1"/>
  <c r="N70" i="1"/>
  <c r="L68" i="1"/>
  <c r="N54" i="1"/>
  <c r="L52" i="1"/>
  <c r="N36" i="1"/>
  <c r="M33" i="1"/>
  <c r="N22" i="1"/>
  <c r="L20" i="1"/>
  <c r="AC44" i="1"/>
  <c r="AF42" i="1" s="1"/>
  <c r="AA61" i="1" l="1"/>
  <c r="Z61" i="1"/>
  <c r="P61" i="1"/>
  <c r="N63" i="1"/>
  <c r="O61" i="1"/>
  <c r="S61" i="1"/>
  <c r="W61" i="1"/>
  <c r="L61" i="1"/>
  <c r="X61" i="1"/>
  <c r="T61" i="1"/>
  <c r="U61" i="1"/>
  <c r="R63" i="1"/>
  <c r="R61" i="1"/>
  <c r="M61" i="1"/>
  <c r="Q61" i="1"/>
  <c r="Y61" i="1"/>
  <c r="V63" i="1"/>
  <c r="N61" i="1"/>
  <c r="V61" i="1"/>
  <c r="AA69" i="1"/>
  <c r="Q69" i="1"/>
  <c r="O69" i="1"/>
  <c r="Z69" i="1"/>
  <c r="R69" i="1"/>
  <c r="P69" i="1"/>
  <c r="X69" i="1"/>
  <c r="V69" i="1"/>
  <c r="W69" i="1"/>
  <c r="N71" i="1"/>
  <c r="S69" i="1"/>
  <c r="Y69" i="1"/>
  <c r="L69" i="1"/>
  <c r="M69" i="1"/>
  <c r="N69" i="1"/>
  <c r="R71" i="1"/>
  <c r="AC68" i="1" s="1"/>
  <c r="U69" i="1"/>
  <c r="T69" i="1"/>
  <c r="V71" i="1"/>
  <c r="L33" i="1"/>
  <c r="M36" i="1"/>
  <c r="H37" i="1" s="1" a="1"/>
  <c r="H37" i="1" s="1"/>
  <c r="O53" i="1"/>
  <c r="R55" i="1"/>
  <c r="AC52" i="1" s="1"/>
  <c r="M53" i="1"/>
  <c r="U53" i="1"/>
  <c r="N53" i="1"/>
  <c r="X53" i="1"/>
  <c r="AA53" i="1"/>
  <c r="Z53" i="1"/>
  <c r="S53" i="1"/>
  <c r="L53" i="1"/>
  <c r="V53" i="1"/>
  <c r="P53" i="1"/>
  <c r="Y53" i="1"/>
  <c r="T53" i="1"/>
  <c r="N55" i="1"/>
  <c r="R53" i="1"/>
  <c r="Q53" i="1"/>
  <c r="W53" i="1"/>
  <c r="V55" i="1"/>
  <c r="AF50" i="1" s="1"/>
  <c r="L29" i="1"/>
  <c r="Q29" i="1"/>
  <c r="P29" i="1"/>
  <c r="O29" i="1"/>
  <c r="N29" i="1"/>
  <c r="T29" i="1"/>
  <c r="S29" i="1"/>
  <c r="R29" i="1"/>
  <c r="Z29" i="1"/>
  <c r="AA29" i="1"/>
  <c r="M29" i="1"/>
  <c r="W29" i="1"/>
  <c r="Y29" i="1"/>
  <c r="X29" i="1"/>
  <c r="V29" i="1"/>
  <c r="U29" i="1"/>
  <c r="N31" i="1"/>
  <c r="R31" i="1"/>
  <c r="V31" i="1"/>
  <c r="AF26" i="1" s="1"/>
  <c r="L21" i="1"/>
  <c r="M21" i="1"/>
  <c r="Q21" i="1"/>
  <c r="P21" i="1"/>
  <c r="O21" i="1"/>
  <c r="N21" i="1"/>
  <c r="T21" i="1"/>
  <c r="S21" i="1"/>
  <c r="AA21" i="1"/>
  <c r="Z21" i="1"/>
  <c r="Y21" i="1"/>
  <c r="X21" i="1"/>
  <c r="W21" i="1"/>
  <c r="V21" i="1"/>
  <c r="U21" i="1"/>
  <c r="R21" i="1"/>
  <c r="R23" i="1"/>
  <c r="AC20" i="1" s="1"/>
  <c r="AF18" i="1" s="1"/>
  <c r="N23" i="1"/>
  <c r="V23" i="1"/>
  <c r="AC60" i="1" l="1"/>
  <c r="AF58" i="1" s="1"/>
  <c r="AC28" i="1"/>
  <c r="N38" i="1"/>
  <c r="L36" i="1"/>
  <c r="AF66" i="1"/>
  <c r="O37" i="1" l="1"/>
  <c r="S37" i="1"/>
  <c r="R37" i="1"/>
  <c r="P37" i="1"/>
  <c r="M37" i="1"/>
  <c r="N37" i="1"/>
  <c r="U37" i="1"/>
  <c r="Q37" i="1"/>
  <c r="L37" i="1"/>
  <c r="AA37" i="1"/>
  <c r="Z37" i="1"/>
  <c r="Y37" i="1"/>
  <c r="X37" i="1"/>
  <c r="W37" i="1"/>
  <c r="V37" i="1"/>
  <c r="R39" i="1"/>
  <c r="AC36" i="1" s="1"/>
  <c r="T37" i="1"/>
  <c r="N39" i="1"/>
  <c r="V39" i="1"/>
  <c r="AF3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<sst xmlns="http://schemas.openxmlformats.org/spreadsheetml/2006/main" count="156" uniqueCount="87">
  <si>
    <t>Вариант</t>
  </si>
  <si>
    <t>A</t>
  </si>
  <si>
    <t>C</t>
  </si>
  <si>
    <t>X1=</t>
  </si>
  <si>
    <t>A=</t>
  </si>
  <si>
    <t>X2=</t>
  </si>
  <si>
    <t>C=</t>
  </si>
  <si>
    <t>X3=</t>
  </si>
  <si>
    <t>A+C=</t>
  </si>
  <si>
    <t>X4=</t>
  </si>
  <si>
    <t>A+C+C=</t>
  </si>
  <si>
    <t>X5=</t>
  </si>
  <si>
    <t>C-A=</t>
  </si>
  <si>
    <t>X6=</t>
  </si>
  <si>
    <t>X7=</t>
  </si>
  <si>
    <t>X8=</t>
  </si>
  <si>
    <t>X9=</t>
  </si>
  <si>
    <t>X10=</t>
  </si>
  <si>
    <t>X11=</t>
  </si>
  <si>
    <t>X12=</t>
  </si>
  <si>
    <t>65536-X4=</t>
  </si>
  <si>
    <t>-X1=</t>
  </si>
  <si>
    <t>-X2=</t>
  </si>
  <si>
    <t>-X3=</t>
  </si>
  <si>
    <t>-X4=</t>
  </si>
  <si>
    <t>-X5=</t>
  </si>
  <si>
    <t>-X6=</t>
  </si>
  <si>
    <t>B1</t>
  </si>
  <si>
    <t>B2</t>
  </si>
  <si>
    <t>B7</t>
  </si>
  <si>
    <t>B8</t>
  </si>
  <si>
    <t>B11</t>
  </si>
  <si>
    <t>B1=</t>
  </si>
  <si>
    <t>B2=</t>
  </si>
  <si>
    <t>B3=</t>
  </si>
  <si>
    <t>B4=</t>
  </si>
  <si>
    <t>B5=</t>
  </si>
  <si>
    <t>B6=</t>
  </si>
  <si>
    <t>B7=</t>
  </si>
  <si>
    <t>B8=</t>
  </si>
  <si>
    <t>B9=</t>
  </si>
  <si>
    <t>B10=</t>
  </si>
  <si>
    <t>B11=</t>
  </si>
  <si>
    <t>B12=</t>
  </si>
  <si>
    <t>-B1=</t>
  </si>
  <si>
    <t>-B2=</t>
  </si>
  <si>
    <t>-B3=</t>
  </si>
  <si>
    <t>-B4=</t>
  </si>
  <si>
    <t>-B5=</t>
  </si>
  <si>
    <t>-B6=</t>
  </si>
  <si>
    <t>ОДЗ:</t>
  </si>
  <si>
    <r>
      <t>[-2</t>
    </r>
    <r>
      <rPr>
        <vertAlign val="superscript"/>
        <sz val="11"/>
        <color theme="1"/>
        <rFont val="Aptos Narrow"/>
        <family val="2"/>
        <charset val="204"/>
        <scheme val="minor"/>
      </rPr>
      <t>15</t>
    </r>
    <r>
      <rPr>
        <sz val="11"/>
        <color theme="1"/>
        <rFont val="Aptos Narrow"/>
        <family val="2"/>
        <charset val="204"/>
        <scheme val="minor"/>
      </rPr>
      <t>;2</t>
    </r>
    <r>
      <rPr>
        <vertAlign val="superscript"/>
        <sz val="11"/>
        <color theme="1"/>
        <rFont val="Aptos Narrow"/>
        <family val="2"/>
        <charset val="204"/>
        <scheme val="minor"/>
      </rPr>
      <t>15</t>
    </r>
    <r>
      <rPr>
        <sz val="11"/>
        <color theme="1"/>
        <rFont val="Aptos Narrow"/>
        <family val="2"/>
        <charset val="204"/>
        <scheme val="minor"/>
      </rPr>
      <t>-1]</t>
    </r>
  </si>
  <si>
    <t>Длина</t>
  </si>
  <si>
    <t>Доп код?</t>
  </si>
  <si>
    <t>СС2 для ABS</t>
  </si>
  <si>
    <t>Адрес первой 1</t>
  </si>
  <si>
    <t>СС2 в обратном</t>
  </si>
  <si>
    <t>ОТВЕТ</t>
  </si>
  <si>
    <t>ПРЯМОЙ КОД</t>
  </si>
  <si>
    <t>ДОП КОД</t>
  </si>
  <si>
    <t>+B2</t>
  </si>
  <si>
    <t>Перенос</t>
  </si>
  <si>
    <t>X1</t>
  </si>
  <si>
    <t>+X2</t>
  </si>
  <si>
    <t>=</t>
  </si>
  <si>
    <t>CF=</t>
  </si>
  <si>
    <t>PF=</t>
  </si>
  <si>
    <t>AF=</t>
  </si>
  <si>
    <t>ZF=</t>
  </si>
  <si>
    <t>SF=</t>
  </si>
  <si>
    <t>OF=</t>
  </si>
  <si>
    <t>Результат верный</t>
  </si>
  <si>
    <t>+B3</t>
  </si>
  <si>
    <t>X2</t>
  </si>
  <si>
    <t>+X3</t>
  </si>
  <si>
    <t>При сложении чисел одного знака получено число другого знака ПЕРЕПОЛНЕНИЕ!</t>
  </si>
  <si>
    <t>Перевод из  доп кода</t>
  </si>
  <si>
    <t>+B7</t>
  </si>
  <si>
    <t>+X7</t>
  </si>
  <si>
    <t>Результат корректный. Перенос из старшего разряда не учитывается</t>
  </si>
  <si>
    <t>+B8</t>
  </si>
  <si>
    <t>X7</t>
  </si>
  <si>
    <t>+X8</t>
  </si>
  <si>
    <t>+B9</t>
  </si>
  <si>
    <t>X8</t>
  </si>
  <si>
    <t>+X9</t>
  </si>
  <si>
    <t>X11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</si>
</sst>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vertAlign val="superscript"/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1"/>
      <color theme="2" tint="-0.249977111117893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mediumDashed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slantDashDot">
        <color indexed="64"/>
      </right>
      <top/>
      <bottom/>
      <diagonal/>
    </border>
    <border>
      <left/>
      <right style="slantDashDot">
        <color indexed="64"/>
      </right>
      <top/>
      <bottom style="medium">
        <color indexed="64"/>
      </bottom>
      <diagonal/>
    </border>
    <border>
      <left style="slantDashDot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0" xfId="0" quotePrefix="1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2" xfId="0" applyFont="1" applyBorder="1"/>
    <xf numFmtId="0" fontId="0" fillId="0" borderId="2" xfId="0" applyBorder="1" applyAlignment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0" xfId="0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3D67-3913-418B-A4B8-C186672979F4}">
  <dimension ref="A1:BM71"/>
  <sheetViews>
    <sheetView tabSelected="1" zoomScale="141" zoomScaleNormal="91" zoomScalePageLayoutView="75" workbookViewId="0">
      <selection activeCell="F1" sqref="F1"/>
    </sheetView>
  </sheetViews>
  <sheetFormatPr defaultRowHeight="14.5" x14ac:dyDescent="0.35"/>
  <cols>
    <col min="2" max="2" width="9.54296875" customWidth="1"/>
    <col min="4" max="4" width="4.36328125" customWidth="1"/>
    <col min="7" max="7" width="17.36328125" style="4" customWidth="1"/>
    <col min="8" max="8" width="14.54296875" style="4" customWidth="1"/>
    <col min="9" max="9" width="5.90625" style="4" customWidth="1"/>
    <col min="10" max="10" width="10.54296875" style="4" customWidth="1"/>
    <col min="11" max="11" width="8.81640625" style="4" customWidth="1"/>
    <col min="12" max="17" width="3" customWidth="1"/>
    <col min="18" max="27" width="2.6328125" customWidth="1"/>
    <col min="28" max="28" width="4.90625" customWidth="1"/>
    <col min="29" max="29" width="9.26953125" customWidth="1"/>
    <col min="30" max="30" width="2.90625" customWidth="1"/>
    <col min="31" max="31" width="3.54296875" customWidth="1"/>
    <col min="32" max="45" width="2.90625" customWidth="1"/>
    <col min="47" max="62" width="3.26953125" customWidth="1"/>
  </cols>
  <sheetData>
    <row r="1" spans="1:65" x14ac:dyDescent="0.35">
      <c r="A1" s="2" t="s">
        <v>0</v>
      </c>
      <c r="B1" s="1" t="s">
        <v>1</v>
      </c>
      <c r="C1" s="1">
        <v>5567</v>
      </c>
    </row>
    <row r="2" spans="1:65" ht="16.5" x14ac:dyDescent="0.35">
      <c r="A2" s="2">
        <f>MOD(62,40)</f>
        <v>22</v>
      </c>
      <c r="B2" t="s">
        <v>2</v>
      </c>
      <c r="C2">
        <v>26281</v>
      </c>
      <c r="L2" s="30" t="s">
        <v>57</v>
      </c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4" t="s">
        <v>50</v>
      </c>
      <c r="AC2" s="4" t="s">
        <v>51</v>
      </c>
      <c r="AD2" s="30" t="s">
        <v>58</v>
      </c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U2" s="30" t="s">
        <v>59</v>
      </c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</row>
    <row r="3" spans="1:65" x14ac:dyDescent="0.35">
      <c r="G3" s="8" t="s">
        <v>54</v>
      </c>
      <c r="H3" s="8" t="s">
        <v>56</v>
      </c>
      <c r="I3" s="9" t="s">
        <v>52</v>
      </c>
      <c r="J3" s="10" t="s">
        <v>55</v>
      </c>
      <c r="K3" s="11" t="s">
        <v>53</v>
      </c>
      <c r="L3" s="9">
        <v>15</v>
      </c>
      <c r="M3" s="9">
        <v>14</v>
      </c>
      <c r="N3" s="9">
        <v>13</v>
      </c>
      <c r="O3" s="15">
        <v>12</v>
      </c>
      <c r="P3" s="9">
        <v>11</v>
      </c>
      <c r="Q3" s="9">
        <v>10</v>
      </c>
      <c r="R3" s="9">
        <v>9</v>
      </c>
      <c r="S3" s="15">
        <v>8</v>
      </c>
      <c r="T3" s="9">
        <v>7</v>
      </c>
      <c r="U3" s="9">
        <v>6</v>
      </c>
      <c r="V3" s="9">
        <v>5</v>
      </c>
      <c r="W3" s="15">
        <v>4</v>
      </c>
      <c r="X3" s="9">
        <v>3</v>
      </c>
      <c r="Y3" s="9">
        <v>2</v>
      </c>
      <c r="Z3" s="9">
        <v>1</v>
      </c>
      <c r="AA3" s="13">
        <v>0</v>
      </c>
      <c r="AC3">
        <f>2^15</f>
        <v>32768</v>
      </c>
      <c r="AD3" s="9">
        <v>15</v>
      </c>
      <c r="AE3" s="9">
        <v>14</v>
      </c>
      <c r="AF3" s="9">
        <v>13</v>
      </c>
      <c r="AG3" s="9">
        <v>12</v>
      </c>
      <c r="AH3" s="9">
        <v>11</v>
      </c>
      <c r="AI3" s="9">
        <v>10</v>
      </c>
      <c r="AJ3" s="9">
        <v>9</v>
      </c>
      <c r="AK3" s="9">
        <v>8</v>
      </c>
      <c r="AL3" s="9">
        <v>7</v>
      </c>
      <c r="AM3" s="9">
        <v>6</v>
      </c>
      <c r="AN3" s="9">
        <v>5</v>
      </c>
      <c r="AO3" s="9">
        <v>4</v>
      </c>
      <c r="AP3" s="9">
        <v>3</v>
      </c>
      <c r="AQ3" s="9">
        <v>2</v>
      </c>
      <c r="AR3" s="9">
        <v>1</v>
      </c>
      <c r="AS3" s="9">
        <v>0</v>
      </c>
      <c r="AU3" s="9">
        <v>15</v>
      </c>
      <c r="AV3" s="9">
        <v>14</v>
      </c>
      <c r="AW3" s="9">
        <v>13</v>
      </c>
      <c r="AX3" s="9">
        <v>12</v>
      </c>
      <c r="AY3" s="9">
        <v>11</v>
      </c>
      <c r="AZ3" s="9">
        <v>10</v>
      </c>
      <c r="BA3" s="9">
        <v>9</v>
      </c>
      <c r="BB3" s="9">
        <v>8</v>
      </c>
      <c r="BC3" s="9">
        <v>7</v>
      </c>
      <c r="BD3" s="9">
        <v>6</v>
      </c>
      <c r="BE3" s="9">
        <v>5</v>
      </c>
      <c r="BF3" s="9">
        <v>4</v>
      </c>
      <c r="BG3" s="9">
        <v>3</v>
      </c>
      <c r="BH3" s="9">
        <v>2</v>
      </c>
      <c r="BI3" s="9">
        <v>1</v>
      </c>
      <c r="BJ3" s="9">
        <v>0</v>
      </c>
      <c r="BM3" t="s">
        <v>71</v>
      </c>
    </row>
    <row r="4" spans="1:65" x14ac:dyDescent="0.35">
      <c r="A4" t="s">
        <v>3</v>
      </c>
      <c r="B4" t="s">
        <v>4</v>
      </c>
      <c r="C4">
        <f>C1</f>
        <v>5567</v>
      </c>
      <c r="E4" t="s">
        <v>32</v>
      </c>
      <c r="G4" s="6" t="str">
        <f>_xlfn.BASE(ABS(C4),2)</f>
        <v>1010110111111</v>
      </c>
      <c r="H4" s="6" t="str" cm="1">
        <f t="array" ref="H4">_xlfn.CONCAT(MID(G4,_xlfn.SEQUENCE(LEN(G4),,LEN(G4),-1),1))</f>
        <v>1111110110101</v>
      </c>
      <c r="I4" s="6">
        <f>LEN(G4)</f>
        <v>13</v>
      </c>
      <c r="J4" s="6">
        <f>SEARCH(1,H4)-1</f>
        <v>0</v>
      </c>
      <c r="K4" s="12" t="b">
        <f>C4&lt;0</f>
        <v>0</v>
      </c>
      <c r="L4" s="7">
        <f t="shared" ref="L4:Z4" si="0">IF($K4,AU4,AD4)</f>
        <v>0</v>
      </c>
      <c r="M4" s="7">
        <f t="shared" si="0"/>
        <v>0</v>
      </c>
      <c r="N4" s="7">
        <f t="shared" si="0"/>
        <v>0</v>
      </c>
      <c r="O4" s="16" t="str">
        <f t="shared" si="0"/>
        <v>1</v>
      </c>
      <c r="P4" s="7" t="str">
        <f t="shared" si="0"/>
        <v>0</v>
      </c>
      <c r="Q4" s="7" t="str">
        <f t="shared" si="0"/>
        <v>1</v>
      </c>
      <c r="R4" s="7" t="str">
        <f t="shared" si="0"/>
        <v>0</v>
      </c>
      <c r="S4" s="16" t="str">
        <f t="shared" si="0"/>
        <v>1</v>
      </c>
      <c r="T4" s="7" t="str">
        <f t="shared" si="0"/>
        <v>1</v>
      </c>
      <c r="U4" s="7" t="str">
        <f t="shared" si="0"/>
        <v>0</v>
      </c>
      <c r="V4" s="7" t="str">
        <f t="shared" si="0"/>
        <v>1</v>
      </c>
      <c r="W4" s="16" t="str">
        <f t="shared" si="0"/>
        <v>1</v>
      </c>
      <c r="X4" s="7" t="str">
        <f t="shared" si="0"/>
        <v>1</v>
      </c>
      <c r="Y4" s="7" t="str">
        <f t="shared" si="0"/>
        <v>1</v>
      </c>
      <c r="Z4" s="7" t="str">
        <f t="shared" si="0"/>
        <v>1</v>
      </c>
      <c r="AA4" s="14" t="str">
        <f>IF($K4,BJ4,AS4)</f>
        <v>1</v>
      </c>
      <c r="AD4" s="5">
        <f t="shared" ref="AD4:AS15" si="1">IF($I4&gt;AD$3,MID($G4,$I4-AD$3,1),0)</f>
        <v>0</v>
      </c>
      <c r="AE4" s="5">
        <f t="shared" si="1"/>
        <v>0</v>
      </c>
      <c r="AF4" s="5">
        <f t="shared" si="1"/>
        <v>0</v>
      </c>
      <c r="AG4" s="5" t="str">
        <f t="shared" si="1"/>
        <v>1</v>
      </c>
      <c r="AH4" s="5" t="str">
        <f t="shared" si="1"/>
        <v>0</v>
      </c>
      <c r="AI4" s="5" t="str">
        <f t="shared" si="1"/>
        <v>1</v>
      </c>
      <c r="AJ4" s="5" t="str">
        <f t="shared" si="1"/>
        <v>0</v>
      </c>
      <c r="AK4" s="5" t="str">
        <f t="shared" si="1"/>
        <v>1</v>
      </c>
      <c r="AL4" s="5" t="str">
        <f t="shared" si="1"/>
        <v>1</v>
      </c>
      <c r="AM4" s="5" t="str">
        <f t="shared" si="1"/>
        <v>0</v>
      </c>
      <c r="AN4" s="5" t="str">
        <f t="shared" si="1"/>
        <v>1</v>
      </c>
      <c r="AO4" s="5" t="str">
        <f t="shared" si="1"/>
        <v>1</v>
      </c>
      <c r="AP4" s="5" t="str">
        <f t="shared" si="1"/>
        <v>1</v>
      </c>
      <c r="AQ4" s="5" t="str">
        <f t="shared" si="1"/>
        <v>1</v>
      </c>
      <c r="AR4" s="5" t="str">
        <f t="shared" si="1"/>
        <v>1</v>
      </c>
      <c r="AS4" s="5" t="str">
        <f>IF($I4&gt;AS$3,MID($G4,$I4-AS$3,1),0)</f>
        <v>1</v>
      </c>
      <c r="AU4" s="5">
        <f t="shared" ref="AU4:BI4" si="2">IF(AU$3&lt;=$J4,AD4,1-AD4)</f>
        <v>1</v>
      </c>
      <c r="AV4" s="5">
        <f t="shared" si="2"/>
        <v>1</v>
      </c>
      <c r="AW4" s="5">
        <f t="shared" si="2"/>
        <v>1</v>
      </c>
      <c r="AX4" s="5">
        <f t="shared" si="2"/>
        <v>0</v>
      </c>
      <c r="AY4" s="5">
        <f t="shared" si="2"/>
        <v>1</v>
      </c>
      <c r="AZ4" s="5">
        <f t="shared" si="2"/>
        <v>0</v>
      </c>
      <c r="BA4" s="5">
        <f t="shared" si="2"/>
        <v>1</v>
      </c>
      <c r="BB4" s="5">
        <f t="shared" si="2"/>
        <v>0</v>
      </c>
      <c r="BC4" s="5">
        <f t="shared" si="2"/>
        <v>0</v>
      </c>
      <c r="BD4" s="5">
        <f t="shared" si="2"/>
        <v>1</v>
      </c>
      <c r="BE4" s="5">
        <f t="shared" si="2"/>
        <v>0</v>
      </c>
      <c r="BF4" s="5">
        <f t="shared" si="2"/>
        <v>0</v>
      </c>
      <c r="BG4" s="5">
        <f t="shared" si="2"/>
        <v>0</v>
      </c>
      <c r="BH4" s="5">
        <f t="shared" si="2"/>
        <v>0</v>
      </c>
      <c r="BI4" s="5">
        <f t="shared" si="2"/>
        <v>0</v>
      </c>
      <c r="BJ4" s="5" t="str">
        <f>IF(BJ$3&lt;=$J4,AS4,1-AS4)</f>
        <v>1</v>
      </c>
      <c r="BM4" s="4" t="s">
        <v>75</v>
      </c>
    </row>
    <row r="5" spans="1:65" x14ac:dyDescent="0.35">
      <c r="A5" t="s">
        <v>5</v>
      </c>
      <c r="B5" t="s">
        <v>6</v>
      </c>
      <c r="C5">
        <f>C2</f>
        <v>26281</v>
      </c>
      <c r="E5" t="s">
        <v>33</v>
      </c>
      <c r="G5" s="6" t="str">
        <f t="shared" ref="G5:G15" si="3">_xlfn.BASE(ABS(C5),2)</f>
        <v>110011010101001</v>
      </c>
      <c r="H5" s="6" t="str" cm="1">
        <f t="array" ref="H5">_xlfn.CONCAT(MID(G5,_xlfn.SEQUENCE(LEN(G5),,LEN(G5),-1),1))</f>
        <v>100101010110011</v>
      </c>
      <c r="I5" s="6">
        <f t="shared" ref="I5:I15" si="4">LEN(G5)</f>
        <v>15</v>
      </c>
      <c r="J5" s="6">
        <f t="shared" ref="J5:J15" si="5">SEARCH(1,H5)-1</f>
        <v>0</v>
      </c>
      <c r="K5" s="12" t="b">
        <f t="shared" ref="K5:K15" si="6">C5&lt;0</f>
        <v>0</v>
      </c>
      <c r="L5" s="7">
        <f t="shared" ref="L5:L15" si="7">IF($K5,AU5,AD5)</f>
        <v>0</v>
      </c>
      <c r="M5" s="7" t="str">
        <f t="shared" ref="M5:M15" si="8">IF($K5,AV5,AE5)</f>
        <v>1</v>
      </c>
      <c r="N5" s="7" t="str">
        <f t="shared" ref="N5:N15" si="9">IF($K5,AW5,AF5)</f>
        <v>1</v>
      </c>
      <c r="O5" s="16" t="str">
        <f t="shared" ref="O5:O15" si="10">IF($K5,AX5,AG5)</f>
        <v>0</v>
      </c>
      <c r="P5" s="7" t="str">
        <f t="shared" ref="P5:P15" si="11">IF($K5,AY5,AH5)</f>
        <v>0</v>
      </c>
      <c r="Q5" s="7" t="str">
        <f t="shared" ref="Q5:Q15" si="12">IF($K5,AZ5,AI5)</f>
        <v>1</v>
      </c>
      <c r="R5" s="7" t="str">
        <f t="shared" ref="R5:R15" si="13">IF($K5,BA5,AJ5)</f>
        <v>1</v>
      </c>
      <c r="S5" s="16" t="str">
        <f t="shared" ref="S5:S15" si="14">IF($K5,BB5,AK5)</f>
        <v>0</v>
      </c>
      <c r="T5" s="7" t="str">
        <f t="shared" ref="T5:T15" si="15">IF($K5,BC5,AL5)</f>
        <v>1</v>
      </c>
      <c r="U5" s="7" t="str">
        <f t="shared" ref="U5:U15" si="16">IF($K5,BD5,AM5)</f>
        <v>0</v>
      </c>
      <c r="V5" s="7" t="str">
        <f t="shared" ref="V5:V15" si="17">IF($K5,BE5,AN5)</f>
        <v>1</v>
      </c>
      <c r="W5" s="16" t="str">
        <f t="shared" ref="W5:W15" si="18">IF($K5,BF5,AO5)</f>
        <v>0</v>
      </c>
      <c r="X5" s="7" t="str">
        <f t="shared" ref="X5:X15" si="19">IF($K5,BG5,AP5)</f>
        <v>1</v>
      </c>
      <c r="Y5" s="7" t="str">
        <f t="shared" ref="Y5:Y15" si="20">IF($K5,BH5,AQ5)</f>
        <v>0</v>
      </c>
      <c r="Z5" s="7" t="str">
        <f t="shared" ref="Z5:Z15" si="21">IF($K5,BI5,AR5)</f>
        <v>0</v>
      </c>
      <c r="AA5" s="14" t="str">
        <f t="shared" ref="AA5:AA15" si="22">IF($K5,BJ5,AS5)</f>
        <v>1</v>
      </c>
      <c r="AD5" s="5">
        <f t="shared" si="1"/>
        <v>0</v>
      </c>
      <c r="AE5" s="5" t="str">
        <f t="shared" si="1"/>
        <v>1</v>
      </c>
      <c r="AF5" s="5" t="str">
        <f t="shared" si="1"/>
        <v>1</v>
      </c>
      <c r="AG5" s="5" t="str">
        <f t="shared" si="1"/>
        <v>0</v>
      </c>
      <c r="AH5" s="5" t="str">
        <f t="shared" si="1"/>
        <v>0</v>
      </c>
      <c r="AI5" s="5" t="str">
        <f t="shared" si="1"/>
        <v>1</v>
      </c>
      <c r="AJ5" s="5" t="str">
        <f t="shared" si="1"/>
        <v>1</v>
      </c>
      <c r="AK5" s="5" t="str">
        <f t="shared" si="1"/>
        <v>0</v>
      </c>
      <c r="AL5" s="5" t="str">
        <f t="shared" si="1"/>
        <v>1</v>
      </c>
      <c r="AM5" s="5" t="str">
        <f t="shared" si="1"/>
        <v>0</v>
      </c>
      <c r="AN5" s="5" t="str">
        <f t="shared" si="1"/>
        <v>1</v>
      </c>
      <c r="AO5" s="5" t="str">
        <f t="shared" si="1"/>
        <v>0</v>
      </c>
      <c r="AP5" s="5" t="str">
        <f t="shared" si="1"/>
        <v>1</v>
      </c>
      <c r="AQ5" s="5" t="str">
        <f t="shared" si="1"/>
        <v>0</v>
      </c>
      <c r="AR5" s="5" t="str">
        <f t="shared" si="1"/>
        <v>0</v>
      </c>
      <c r="AS5" s="5" t="str">
        <f t="shared" si="1"/>
        <v>1</v>
      </c>
      <c r="AU5" s="5">
        <f t="shared" ref="AU5:AU15" si="23">IF(AU$3&lt;=$J5,AD5,1-AD5)</f>
        <v>1</v>
      </c>
      <c r="AV5" s="5">
        <f t="shared" ref="AV5:AV15" si="24">IF(AV$3&lt;=$J5,AE5,1-AE5)</f>
        <v>0</v>
      </c>
      <c r="AW5" s="5">
        <f t="shared" ref="AW5:AW15" si="25">IF(AW$3&lt;=$J5,AF5,1-AF5)</f>
        <v>0</v>
      </c>
      <c r="AX5" s="5">
        <f t="shared" ref="AX5:AX15" si="26">IF(AX$3&lt;=$J5,AG5,1-AG5)</f>
        <v>1</v>
      </c>
      <c r="AY5" s="5">
        <f t="shared" ref="AY5:AY15" si="27">IF(AY$3&lt;=$J5,AH5,1-AH5)</f>
        <v>1</v>
      </c>
      <c r="AZ5" s="5">
        <f t="shared" ref="AZ5:AZ15" si="28">IF(AZ$3&lt;=$J5,AI5,1-AI5)</f>
        <v>0</v>
      </c>
      <c r="BA5" s="5">
        <f t="shared" ref="BA5:BA15" si="29">IF(BA$3&lt;=$J5,AJ5,1-AJ5)</f>
        <v>0</v>
      </c>
      <c r="BB5" s="5">
        <f t="shared" ref="BB5:BB15" si="30">IF(BB$3&lt;=$J5,AK5,1-AK5)</f>
        <v>1</v>
      </c>
      <c r="BC5" s="5">
        <f t="shared" ref="BC5:BC15" si="31">IF(BC$3&lt;=$J5,AL5,1-AL5)</f>
        <v>0</v>
      </c>
      <c r="BD5" s="5">
        <f t="shared" ref="BD5:BD15" si="32">IF(BD$3&lt;=$J5,AM5,1-AM5)</f>
        <v>1</v>
      </c>
      <c r="BE5" s="5">
        <f t="shared" ref="BE5:BE15" si="33">IF(BE$3&lt;=$J5,AN5,1-AN5)</f>
        <v>0</v>
      </c>
      <c r="BF5" s="5">
        <f t="shared" ref="BF5:BF15" si="34">IF(BF$3&lt;=$J5,AO5,1-AO5)</f>
        <v>1</v>
      </c>
      <c r="BG5" s="5">
        <f t="shared" ref="BG5:BG15" si="35">IF(BG$3&lt;=$J5,AP5,1-AP5)</f>
        <v>0</v>
      </c>
      <c r="BH5" s="5">
        <f t="shared" ref="BH5:BH15" si="36">IF(BH$3&lt;=$J5,AQ5,1-AQ5)</f>
        <v>1</v>
      </c>
      <c r="BI5" s="5">
        <f t="shared" ref="BI5:BI15" si="37">IF(BI$3&lt;=$J5,AR5,1-AR5)</f>
        <v>1</v>
      </c>
      <c r="BJ5" s="5" t="str">
        <f t="shared" ref="BJ5:BJ15" si="38">IF(BJ$3&lt;=$J5,AS5,1-AS5)</f>
        <v>1</v>
      </c>
      <c r="BM5" s="4" t="s">
        <v>79</v>
      </c>
    </row>
    <row r="6" spans="1:65" x14ac:dyDescent="0.35">
      <c r="A6" t="s">
        <v>7</v>
      </c>
      <c r="B6" t="s">
        <v>8</v>
      </c>
      <c r="C6">
        <f>C4+C5</f>
        <v>31848</v>
      </c>
      <c r="E6" t="s">
        <v>34</v>
      </c>
      <c r="G6" s="6" t="str">
        <f t="shared" si="3"/>
        <v>111110001101000</v>
      </c>
      <c r="H6" s="6" t="str" cm="1">
        <f t="array" ref="H6">_xlfn.CONCAT(MID(G6,_xlfn.SEQUENCE(LEN(G6),,LEN(G6),-1),1))</f>
        <v>000101100011111</v>
      </c>
      <c r="I6" s="6">
        <f t="shared" si="4"/>
        <v>15</v>
      </c>
      <c r="J6" s="6">
        <f t="shared" si="5"/>
        <v>3</v>
      </c>
      <c r="K6" s="12" t="b">
        <f t="shared" si="6"/>
        <v>0</v>
      </c>
      <c r="L6" s="7">
        <f t="shared" si="7"/>
        <v>0</v>
      </c>
      <c r="M6" s="7" t="str">
        <f t="shared" si="8"/>
        <v>1</v>
      </c>
      <c r="N6" s="7" t="str">
        <f t="shared" si="9"/>
        <v>1</v>
      </c>
      <c r="O6" s="16" t="str">
        <f t="shared" si="10"/>
        <v>1</v>
      </c>
      <c r="P6" s="7" t="str">
        <f t="shared" si="11"/>
        <v>1</v>
      </c>
      <c r="Q6" s="7" t="str">
        <f t="shared" si="12"/>
        <v>1</v>
      </c>
      <c r="R6" s="7" t="str">
        <f t="shared" si="13"/>
        <v>0</v>
      </c>
      <c r="S6" s="16" t="str">
        <f t="shared" si="14"/>
        <v>0</v>
      </c>
      <c r="T6" s="7" t="str">
        <f t="shared" si="15"/>
        <v>0</v>
      </c>
      <c r="U6" s="7" t="str">
        <f t="shared" si="16"/>
        <v>1</v>
      </c>
      <c r="V6" s="7" t="str">
        <f t="shared" si="17"/>
        <v>1</v>
      </c>
      <c r="W6" s="16" t="str">
        <f t="shared" si="18"/>
        <v>0</v>
      </c>
      <c r="X6" s="7" t="str">
        <f t="shared" si="19"/>
        <v>1</v>
      </c>
      <c r="Y6" s="7" t="str">
        <f t="shared" si="20"/>
        <v>0</v>
      </c>
      <c r="Z6" s="7" t="str">
        <f t="shared" si="21"/>
        <v>0</v>
      </c>
      <c r="AA6" s="14" t="str">
        <f t="shared" si="22"/>
        <v>0</v>
      </c>
      <c r="AD6" s="5">
        <f t="shared" si="1"/>
        <v>0</v>
      </c>
      <c r="AE6" s="5" t="str">
        <f t="shared" si="1"/>
        <v>1</v>
      </c>
      <c r="AF6" s="5" t="str">
        <f t="shared" si="1"/>
        <v>1</v>
      </c>
      <c r="AG6" s="5" t="str">
        <f t="shared" si="1"/>
        <v>1</v>
      </c>
      <c r="AH6" s="5" t="str">
        <f t="shared" si="1"/>
        <v>1</v>
      </c>
      <c r="AI6" s="5" t="str">
        <f t="shared" si="1"/>
        <v>1</v>
      </c>
      <c r="AJ6" s="5" t="str">
        <f t="shared" si="1"/>
        <v>0</v>
      </c>
      <c r="AK6" s="5" t="str">
        <f t="shared" si="1"/>
        <v>0</v>
      </c>
      <c r="AL6" s="5" t="str">
        <f t="shared" si="1"/>
        <v>0</v>
      </c>
      <c r="AM6" s="5" t="str">
        <f t="shared" si="1"/>
        <v>1</v>
      </c>
      <c r="AN6" s="5" t="str">
        <f t="shared" si="1"/>
        <v>1</v>
      </c>
      <c r="AO6" s="5" t="str">
        <f t="shared" si="1"/>
        <v>0</v>
      </c>
      <c r="AP6" s="5" t="str">
        <f t="shared" si="1"/>
        <v>1</v>
      </c>
      <c r="AQ6" s="5" t="str">
        <f t="shared" si="1"/>
        <v>0</v>
      </c>
      <c r="AR6" s="5" t="str">
        <f t="shared" si="1"/>
        <v>0</v>
      </c>
      <c r="AS6" s="5" t="str">
        <f t="shared" si="1"/>
        <v>0</v>
      </c>
      <c r="AU6" s="5">
        <f t="shared" si="23"/>
        <v>1</v>
      </c>
      <c r="AV6" s="5">
        <f t="shared" si="24"/>
        <v>0</v>
      </c>
      <c r="AW6" s="5">
        <f t="shared" si="25"/>
        <v>0</v>
      </c>
      <c r="AX6" s="5">
        <f t="shared" si="26"/>
        <v>0</v>
      </c>
      <c r="AY6" s="5">
        <f t="shared" si="27"/>
        <v>0</v>
      </c>
      <c r="AZ6" s="5">
        <f t="shared" si="28"/>
        <v>0</v>
      </c>
      <c r="BA6" s="5">
        <f t="shared" si="29"/>
        <v>1</v>
      </c>
      <c r="BB6" s="5">
        <f t="shared" si="30"/>
        <v>1</v>
      </c>
      <c r="BC6" s="5">
        <f t="shared" si="31"/>
        <v>1</v>
      </c>
      <c r="BD6" s="5">
        <f t="shared" si="32"/>
        <v>0</v>
      </c>
      <c r="BE6" s="5">
        <f t="shared" si="33"/>
        <v>0</v>
      </c>
      <c r="BF6" s="5">
        <f t="shared" si="34"/>
        <v>1</v>
      </c>
      <c r="BG6" s="5" t="str">
        <f t="shared" si="35"/>
        <v>1</v>
      </c>
      <c r="BH6" s="5" t="str">
        <f t="shared" si="36"/>
        <v>0</v>
      </c>
      <c r="BI6" s="5" t="str">
        <f t="shared" si="37"/>
        <v>0</v>
      </c>
      <c r="BJ6" s="5" t="str">
        <f t="shared" si="38"/>
        <v>0</v>
      </c>
    </row>
    <row r="7" spans="1:65" x14ac:dyDescent="0.35">
      <c r="A7" t="s">
        <v>9</v>
      </c>
      <c r="B7" t="s">
        <v>10</v>
      </c>
      <c r="C7">
        <f>C6+C5</f>
        <v>58129</v>
      </c>
      <c r="E7" t="s">
        <v>35</v>
      </c>
      <c r="G7" s="6" t="str">
        <f t="shared" si="3"/>
        <v>1110001100010001</v>
      </c>
      <c r="H7" s="6" t="str" cm="1">
        <f t="array" ref="H7">_xlfn.CONCAT(MID(G7,_xlfn.SEQUENCE(LEN(G7),,LEN(G7),-1),1))</f>
        <v>1000100011000111</v>
      </c>
      <c r="I7" s="6">
        <f t="shared" si="4"/>
        <v>16</v>
      </c>
      <c r="J7" s="6">
        <f t="shared" si="5"/>
        <v>0</v>
      </c>
      <c r="K7" s="12" t="b">
        <f t="shared" si="6"/>
        <v>0</v>
      </c>
      <c r="L7" s="7" t="str">
        <f t="shared" si="7"/>
        <v>1</v>
      </c>
      <c r="M7" s="7" t="str">
        <f t="shared" si="8"/>
        <v>1</v>
      </c>
      <c r="N7" s="7" t="str">
        <f t="shared" si="9"/>
        <v>1</v>
      </c>
      <c r="O7" s="16" t="str">
        <f t="shared" si="10"/>
        <v>0</v>
      </c>
      <c r="P7" s="7" t="str">
        <f t="shared" si="11"/>
        <v>0</v>
      </c>
      <c r="Q7" s="7" t="str">
        <f t="shared" si="12"/>
        <v>0</v>
      </c>
      <c r="R7" s="7" t="str">
        <f t="shared" si="13"/>
        <v>1</v>
      </c>
      <c r="S7" s="16" t="str">
        <f t="shared" si="14"/>
        <v>1</v>
      </c>
      <c r="T7" s="7" t="str">
        <f t="shared" si="15"/>
        <v>0</v>
      </c>
      <c r="U7" s="7" t="str">
        <f t="shared" si="16"/>
        <v>0</v>
      </c>
      <c r="V7" s="7" t="str">
        <f t="shared" si="17"/>
        <v>0</v>
      </c>
      <c r="W7" s="16" t="str">
        <f t="shared" si="18"/>
        <v>1</v>
      </c>
      <c r="X7" s="7" t="str">
        <f t="shared" si="19"/>
        <v>0</v>
      </c>
      <c r="Y7" s="7" t="str">
        <f t="shared" si="20"/>
        <v>0</v>
      </c>
      <c r="Z7" s="7" t="str">
        <f t="shared" si="21"/>
        <v>0</v>
      </c>
      <c r="AA7" s="14" t="str">
        <f t="shared" si="22"/>
        <v>1</v>
      </c>
      <c r="AD7" s="5" t="str">
        <f t="shared" si="1"/>
        <v>1</v>
      </c>
      <c r="AE7" s="5" t="str">
        <f t="shared" si="1"/>
        <v>1</v>
      </c>
      <c r="AF7" s="5" t="str">
        <f t="shared" si="1"/>
        <v>1</v>
      </c>
      <c r="AG7" s="5" t="str">
        <f t="shared" si="1"/>
        <v>0</v>
      </c>
      <c r="AH7" s="5" t="str">
        <f t="shared" si="1"/>
        <v>0</v>
      </c>
      <c r="AI7" s="5" t="str">
        <f t="shared" si="1"/>
        <v>0</v>
      </c>
      <c r="AJ7" s="5" t="str">
        <f t="shared" si="1"/>
        <v>1</v>
      </c>
      <c r="AK7" s="5" t="str">
        <f t="shared" si="1"/>
        <v>1</v>
      </c>
      <c r="AL7" s="5" t="str">
        <f t="shared" si="1"/>
        <v>0</v>
      </c>
      <c r="AM7" s="5" t="str">
        <f t="shared" si="1"/>
        <v>0</v>
      </c>
      <c r="AN7" s="5" t="str">
        <f t="shared" si="1"/>
        <v>0</v>
      </c>
      <c r="AO7" s="5" t="str">
        <f t="shared" si="1"/>
        <v>1</v>
      </c>
      <c r="AP7" s="5" t="str">
        <f t="shared" si="1"/>
        <v>0</v>
      </c>
      <c r="AQ7" s="5" t="str">
        <f t="shared" si="1"/>
        <v>0</v>
      </c>
      <c r="AR7" s="5" t="str">
        <f t="shared" si="1"/>
        <v>0</v>
      </c>
      <c r="AS7" s="5" t="str">
        <f t="shared" si="1"/>
        <v>1</v>
      </c>
      <c r="AU7" s="5">
        <f t="shared" si="23"/>
        <v>0</v>
      </c>
      <c r="AV7" s="5">
        <f t="shared" si="24"/>
        <v>0</v>
      </c>
      <c r="AW7" s="5">
        <f t="shared" si="25"/>
        <v>0</v>
      </c>
      <c r="AX7" s="5">
        <f t="shared" si="26"/>
        <v>1</v>
      </c>
      <c r="AY7" s="5">
        <f t="shared" si="27"/>
        <v>1</v>
      </c>
      <c r="AZ7" s="5">
        <f t="shared" si="28"/>
        <v>1</v>
      </c>
      <c r="BA7" s="5">
        <f t="shared" si="29"/>
        <v>0</v>
      </c>
      <c r="BB7" s="5">
        <f t="shared" si="30"/>
        <v>0</v>
      </c>
      <c r="BC7" s="5">
        <f t="shared" si="31"/>
        <v>1</v>
      </c>
      <c r="BD7" s="5">
        <f t="shared" si="32"/>
        <v>1</v>
      </c>
      <c r="BE7" s="5">
        <f t="shared" si="33"/>
        <v>1</v>
      </c>
      <c r="BF7" s="5">
        <f t="shared" si="34"/>
        <v>0</v>
      </c>
      <c r="BG7" s="5">
        <f t="shared" si="35"/>
        <v>1</v>
      </c>
      <c r="BH7" s="5">
        <f t="shared" si="36"/>
        <v>1</v>
      </c>
      <c r="BI7" s="5">
        <f t="shared" si="37"/>
        <v>1</v>
      </c>
      <c r="BJ7" s="5" t="str">
        <f t="shared" si="38"/>
        <v>1</v>
      </c>
    </row>
    <row r="8" spans="1:65" x14ac:dyDescent="0.35">
      <c r="A8" t="s">
        <v>11</v>
      </c>
      <c r="B8" t="s">
        <v>12</v>
      </c>
      <c r="C8">
        <f>C5-C4</f>
        <v>20714</v>
      </c>
      <c r="E8" t="s">
        <v>36</v>
      </c>
      <c r="G8" s="6" t="str">
        <f t="shared" si="3"/>
        <v>101000011101010</v>
      </c>
      <c r="H8" s="6" t="str" cm="1">
        <f t="array" ref="H8">_xlfn.CONCAT(MID(G8,_xlfn.SEQUENCE(LEN(G8),,LEN(G8),-1),1))</f>
        <v>010101110000101</v>
      </c>
      <c r="I8" s="6">
        <f t="shared" si="4"/>
        <v>15</v>
      </c>
      <c r="J8" s="6">
        <f t="shared" si="5"/>
        <v>1</v>
      </c>
      <c r="K8" s="12" t="b">
        <f t="shared" si="6"/>
        <v>0</v>
      </c>
      <c r="L8" s="7">
        <f t="shared" si="7"/>
        <v>0</v>
      </c>
      <c r="M8" s="7" t="str">
        <f t="shared" si="8"/>
        <v>1</v>
      </c>
      <c r="N8" s="7" t="str">
        <f t="shared" si="9"/>
        <v>0</v>
      </c>
      <c r="O8" s="16" t="str">
        <f t="shared" si="10"/>
        <v>1</v>
      </c>
      <c r="P8" s="7" t="str">
        <f t="shared" si="11"/>
        <v>0</v>
      </c>
      <c r="Q8" s="7" t="str">
        <f t="shared" si="12"/>
        <v>0</v>
      </c>
      <c r="R8" s="7" t="str">
        <f t="shared" si="13"/>
        <v>0</v>
      </c>
      <c r="S8" s="16" t="str">
        <f t="shared" si="14"/>
        <v>0</v>
      </c>
      <c r="T8" s="7" t="str">
        <f t="shared" si="15"/>
        <v>1</v>
      </c>
      <c r="U8" s="7" t="str">
        <f t="shared" si="16"/>
        <v>1</v>
      </c>
      <c r="V8" s="7" t="str">
        <f t="shared" si="17"/>
        <v>1</v>
      </c>
      <c r="W8" s="16" t="str">
        <f t="shared" si="18"/>
        <v>0</v>
      </c>
      <c r="X8" s="7" t="str">
        <f t="shared" si="19"/>
        <v>1</v>
      </c>
      <c r="Y8" s="7" t="str">
        <f t="shared" si="20"/>
        <v>0</v>
      </c>
      <c r="Z8" s="7" t="str">
        <f t="shared" si="21"/>
        <v>1</v>
      </c>
      <c r="AA8" s="14" t="str">
        <f t="shared" si="22"/>
        <v>0</v>
      </c>
      <c r="AD8" s="5">
        <f t="shared" si="1"/>
        <v>0</v>
      </c>
      <c r="AE8" s="5" t="str">
        <f t="shared" si="1"/>
        <v>1</v>
      </c>
      <c r="AF8" s="5" t="str">
        <f t="shared" si="1"/>
        <v>0</v>
      </c>
      <c r="AG8" s="5" t="str">
        <f t="shared" si="1"/>
        <v>1</v>
      </c>
      <c r="AH8" s="5" t="str">
        <f t="shared" si="1"/>
        <v>0</v>
      </c>
      <c r="AI8" s="5" t="str">
        <f t="shared" si="1"/>
        <v>0</v>
      </c>
      <c r="AJ8" s="5" t="str">
        <f t="shared" si="1"/>
        <v>0</v>
      </c>
      <c r="AK8" s="5" t="str">
        <f t="shared" si="1"/>
        <v>0</v>
      </c>
      <c r="AL8" s="5" t="str">
        <f t="shared" si="1"/>
        <v>1</v>
      </c>
      <c r="AM8" s="5" t="str">
        <f t="shared" si="1"/>
        <v>1</v>
      </c>
      <c r="AN8" s="5" t="str">
        <f t="shared" si="1"/>
        <v>1</v>
      </c>
      <c r="AO8" s="5" t="str">
        <f t="shared" si="1"/>
        <v>0</v>
      </c>
      <c r="AP8" s="5" t="str">
        <f t="shared" si="1"/>
        <v>1</v>
      </c>
      <c r="AQ8" s="5" t="str">
        <f t="shared" si="1"/>
        <v>0</v>
      </c>
      <c r="AR8" s="5" t="str">
        <f t="shared" si="1"/>
        <v>1</v>
      </c>
      <c r="AS8" s="5" t="str">
        <f t="shared" si="1"/>
        <v>0</v>
      </c>
      <c r="AU8" s="5">
        <f t="shared" si="23"/>
        <v>1</v>
      </c>
      <c r="AV8" s="5">
        <f t="shared" si="24"/>
        <v>0</v>
      </c>
      <c r="AW8" s="5">
        <f t="shared" si="25"/>
        <v>1</v>
      </c>
      <c r="AX8" s="5">
        <f t="shared" si="26"/>
        <v>0</v>
      </c>
      <c r="AY8" s="5">
        <f t="shared" si="27"/>
        <v>1</v>
      </c>
      <c r="AZ8" s="5">
        <f t="shared" si="28"/>
        <v>1</v>
      </c>
      <c r="BA8" s="5">
        <f t="shared" si="29"/>
        <v>1</v>
      </c>
      <c r="BB8" s="5">
        <f t="shared" si="30"/>
        <v>1</v>
      </c>
      <c r="BC8" s="5">
        <f t="shared" si="31"/>
        <v>0</v>
      </c>
      <c r="BD8" s="5">
        <f t="shared" si="32"/>
        <v>0</v>
      </c>
      <c r="BE8" s="5">
        <f t="shared" si="33"/>
        <v>0</v>
      </c>
      <c r="BF8" s="5">
        <f t="shared" si="34"/>
        <v>1</v>
      </c>
      <c r="BG8" s="5">
        <f t="shared" si="35"/>
        <v>0</v>
      </c>
      <c r="BH8" s="5">
        <f t="shared" si="36"/>
        <v>1</v>
      </c>
      <c r="BI8" s="5" t="str">
        <f t="shared" si="37"/>
        <v>1</v>
      </c>
      <c r="BJ8" s="5" t="str">
        <f t="shared" si="38"/>
        <v>0</v>
      </c>
    </row>
    <row r="9" spans="1:65" x14ac:dyDescent="0.35">
      <c r="A9" t="s">
        <v>13</v>
      </c>
      <c r="B9" t="s">
        <v>20</v>
      </c>
      <c r="C9">
        <f>65536-C7</f>
        <v>7407</v>
      </c>
      <c r="E9" t="s">
        <v>37</v>
      </c>
      <c r="G9" s="6" t="str">
        <f t="shared" si="3"/>
        <v>1110011101111</v>
      </c>
      <c r="H9" s="6" t="str" cm="1">
        <f t="array" ref="H9">_xlfn.CONCAT(MID(G9,_xlfn.SEQUENCE(LEN(G9),,LEN(G9),-1),1))</f>
        <v>1111011100111</v>
      </c>
      <c r="I9" s="6">
        <f t="shared" si="4"/>
        <v>13</v>
      </c>
      <c r="J9" s="6">
        <f t="shared" si="5"/>
        <v>0</v>
      </c>
      <c r="K9" s="12" t="b">
        <f t="shared" si="6"/>
        <v>0</v>
      </c>
      <c r="L9" s="7">
        <f t="shared" si="7"/>
        <v>0</v>
      </c>
      <c r="M9" s="7">
        <f t="shared" si="8"/>
        <v>0</v>
      </c>
      <c r="N9" s="7">
        <f t="shared" si="9"/>
        <v>0</v>
      </c>
      <c r="O9" s="16" t="str">
        <f t="shared" si="10"/>
        <v>1</v>
      </c>
      <c r="P9" s="7" t="str">
        <f t="shared" si="11"/>
        <v>1</v>
      </c>
      <c r="Q9" s="7" t="str">
        <f t="shared" si="12"/>
        <v>1</v>
      </c>
      <c r="R9" s="7" t="str">
        <f t="shared" si="13"/>
        <v>0</v>
      </c>
      <c r="S9" s="16" t="str">
        <f t="shared" si="14"/>
        <v>0</v>
      </c>
      <c r="T9" s="7" t="str">
        <f t="shared" si="15"/>
        <v>1</v>
      </c>
      <c r="U9" s="7" t="str">
        <f t="shared" si="16"/>
        <v>1</v>
      </c>
      <c r="V9" s="7" t="str">
        <f t="shared" si="17"/>
        <v>1</v>
      </c>
      <c r="W9" s="16" t="str">
        <f t="shared" si="18"/>
        <v>0</v>
      </c>
      <c r="X9" s="7" t="str">
        <f t="shared" si="19"/>
        <v>1</v>
      </c>
      <c r="Y9" s="7" t="str">
        <f t="shared" si="20"/>
        <v>1</v>
      </c>
      <c r="Z9" s="7" t="str">
        <f t="shared" si="21"/>
        <v>1</v>
      </c>
      <c r="AA9" s="14" t="str">
        <f t="shared" si="22"/>
        <v>1</v>
      </c>
      <c r="AD9" s="5">
        <f t="shared" si="1"/>
        <v>0</v>
      </c>
      <c r="AE9" s="5">
        <f t="shared" si="1"/>
        <v>0</v>
      </c>
      <c r="AF9" s="5">
        <f t="shared" si="1"/>
        <v>0</v>
      </c>
      <c r="AG9" s="5" t="str">
        <f t="shared" si="1"/>
        <v>1</v>
      </c>
      <c r="AH9" s="5" t="str">
        <f t="shared" si="1"/>
        <v>1</v>
      </c>
      <c r="AI9" s="5" t="str">
        <f t="shared" si="1"/>
        <v>1</v>
      </c>
      <c r="AJ9" s="5" t="str">
        <f t="shared" si="1"/>
        <v>0</v>
      </c>
      <c r="AK9" s="5" t="str">
        <f t="shared" si="1"/>
        <v>0</v>
      </c>
      <c r="AL9" s="5" t="str">
        <f t="shared" si="1"/>
        <v>1</v>
      </c>
      <c r="AM9" s="5" t="str">
        <f t="shared" si="1"/>
        <v>1</v>
      </c>
      <c r="AN9" s="5" t="str">
        <f t="shared" si="1"/>
        <v>1</v>
      </c>
      <c r="AO9" s="5" t="str">
        <f t="shared" si="1"/>
        <v>0</v>
      </c>
      <c r="AP9" s="5" t="str">
        <f t="shared" si="1"/>
        <v>1</v>
      </c>
      <c r="AQ9" s="5" t="str">
        <f t="shared" si="1"/>
        <v>1</v>
      </c>
      <c r="AR9" s="5" t="str">
        <f t="shared" si="1"/>
        <v>1</v>
      </c>
      <c r="AS9" s="5" t="str">
        <f t="shared" si="1"/>
        <v>1</v>
      </c>
      <c r="AU9" s="5">
        <f t="shared" si="23"/>
        <v>1</v>
      </c>
      <c r="AV9" s="5">
        <f t="shared" si="24"/>
        <v>1</v>
      </c>
      <c r="AW9" s="5">
        <f t="shared" si="25"/>
        <v>1</v>
      </c>
      <c r="AX9" s="5">
        <f t="shared" si="26"/>
        <v>0</v>
      </c>
      <c r="AY9" s="5">
        <f t="shared" si="27"/>
        <v>0</v>
      </c>
      <c r="AZ9" s="5">
        <f t="shared" si="28"/>
        <v>0</v>
      </c>
      <c r="BA9" s="5">
        <f t="shared" si="29"/>
        <v>1</v>
      </c>
      <c r="BB9" s="5">
        <f t="shared" si="30"/>
        <v>1</v>
      </c>
      <c r="BC9" s="5">
        <f t="shared" si="31"/>
        <v>0</v>
      </c>
      <c r="BD9" s="5">
        <f t="shared" si="32"/>
        <v>0</v>
      </c>
      <c r="BE9" s="5">
        <f t="shared" si="33"/>
        <v>0</v>
      </c>
      <c r="BF9" s="5">
        <f t="shared" si="34"/>
        <v>1</v>
      </c>
      <c r="BG9" s="5">
        <f t="shared" si="35"/>
        <v>0</v>
      </c>
      <c r="BH9" s="5">
        <f t="shared" si="36"/>
        <v>0</v>
      </c>
      <c r="BI9" s="5">
        <f t="shared" si="37"/>
        <v>0</v>
      </c>
      <c r="BJ9" s="5" t="str">
        <f t="shared" si="38"/>
        <v>1</v>
      </c>
    </row>
    <row r="10" spans="1:65" x14ac:dyDescent="0.35">
      <c r="A10" t="s">
        <v>14</v>
      </c>
      <c r="B10" s="3" t="s">
        <v>21</v>
      </c>
      <c r="C10">
        <f t="shared" ref="C10:C15" si="39">-C4</f>
        <v>-5567</v>
      </c>
      <c r="E10" t="s">
        <v>38</v>
      </c>
      <c r="F10" s="3" t="s">
        <v>44</v>
      </c>
      <c r="G10" s="6" t="str">
        <f t="shared" si="3"/>
        <v>1010110111111</v>
      </c>
      <c r="H10" s="6" t="str" cm="1">
        <f t="array" ref="H10">_xlfn.CONCAT(MID(G10,_xlfn.SEQUENCE(LEN(G10),,LEN(G10),-1),1))</f>
        <v>1111110110101</v>
      </c>
      <c r="I10" s="6">
        <f t="shared" si="4"/>
        <v>13</v>
      </c>
      <c r="J10" s="6">
        <f t="shared" si="5"/>
        <v>0</v>
      </c>
      <c r="K10" s="12" t="b">
        <f t="shared" si="6"/>
        <v>1</v>
      </c>
      <c r="L10" s="7">
        <f t="shared" si="7"/>
        <v>1</v>
      </c>
      <c r="M10" s="7">
        <f t="shared" si="8"/>
        <v>1</v>
      </c>
      <c r="N10" s="7">
        <f t="shared" si="9"/>
        <v>1</v>
      </c>
      <c r="O10" s="16">
        <f t="shared" si="10"/>
        <v>0</v>
      </c>
      <c r="P10" s="7">
        <f t="shared" si="11"/>
        <v>1</v>
      </c>
      <c r="Q10" s="7">
        <f t="shared" si="12"/>
        <v>0</v>
      </c>
      <c r="R10" s="7">
        <f t="shared" si="13"/>
        <v>1</v>
      </c>
      <c r="S10" s="16">
        <f t="shared" si="14"/>
        <v>0</v>
      </c>
      <c r="T10" s="7">
        <f t="shared" si="15"/>
        <v>0</v>
      </c>
      <c r="U10" s="7">
        <f t="shared" si="16"/>
        <v>1</v>
      </c>
      <c r="V10" s="7">
        <f t="shared" si="17"/>
        <v>0</v>
      </c>
      <c r="W10" s="16">
        <f t="shared" si="18"/>
        <v>0</v>
      </c>
      <c r="X10" s="7">
        <f t="shared" si="19"/>
        <v>0</v>
      </c>
      <c r="Y10" s="7">
        <f t="shared" si="20"/>
        <v>0</v>
      </c>
      <c r="Z10" s="7">
        <f t="shared" si="21"/>
        <v>0</v>
      </c>
      <c r="AA10" s="14" t="str">
        <f t="shared" si="22"/>
        <v>1</v>
      </c>
      <c r="AD10" s="5">
        <f t="shared" si="1"/>
        <v>0</v>
      </c>
      <c r="AE10" s="5">
        <f t="shared" si="1"/>
        <v>0</v>
      </c>
      <c r="AF10" s="5">
        <f t="shared" si="1"/>
        <v>0</v>
      </c>
      <c r="AG10" s="5" t="str">
        <f t="shared" si="1"/>
        <v>1</v>
      </c>
      <c r="AH10" s="5" t="str">
        <f t="shared" si="1"/>
        <v>0</v>
      </c>
      <c r="AI10" s="5" t="str">
        <f t="shared" si="1"/>
        <v>1</v>
      </c>
      <c r="AJ10" s="5" t="str">
        <f t="shared" si="1"/>
        <v>0</v>
      </c>
      <c r="AK10" s="5" t="str">
        <f t="shared" si="1"/>
        <v>1</v>
      </c>
      <c r="AL10" s="5" t="str">
        <f t="shared" si="1"/>
        <v>1</v>
      </c>
      <c r="AM10" s="5" t="str">
        <f t="shared" si="1"/>
        <v>0</v>
      </c>
      <c r="AN10" s="5" t="str">
        <f t="shared" si="1"/>
        <v>1</v>
      </c>
      <c r="AO10" s="5" t="str">
        <f t="shared" si="1"/>
        <v>1</v>
      </c>
      <c r="AP10" s="5" t="str">
        <f t="shared" si="1"/>
        <v>1</v>
      </c>
      <c r="AQ10" s="5" t="str">
        <f t="shared" si="1"/>
        <v>1</v>
      </c>
      <c r="AR10" s="5" t="str">
        <f t="shared" si="1"/>
        <v>1</v>
      </c>
      <c r="AS10" s="5" t="str">
        <f t="shared" si="1"/>
        <v>1</v>
      </c>
      <c r="AU10" s="5">
        <f t="shared" si="23"/>
        <v>1</v>
      </c>
      <c r="AV10" s="5">
        <f t="shared" si="24"/>
        <v>1</v>
      </c>
      <c r="AW10" s="5">
        <f t="shared" si="25"/>
        <v>1</v>
      </c>
      <c r="AX10" s="5">
        <f t="shared" si="26"/>
        <v>0</v>
      </c>
      <c r="AY10" s="5">
        <f t="shared" si="27"/>
        <v>1</v>
      </c>
      <c r="AZ10" s="5">
        <f t="shared" si="28"/>
        <v>0</v>
      </c>
      <c r="BA10" s="5">
        <f t="shared" si="29"/>
        <v>1</v>
      </c>
      <c r="BB10" s="5">
        <f t="shared" si="30"/>
        <v>0</v>
      </c>
      <c r="BC10" s="5">
        <f t="shared" si="31"/>
        <v>0</v>
      </c>
      <c r="BD10" s="5">
        <f t="shared" si="32"/>
        <v>1</v>
      </c>
      <c r="BE10" s="5">
        <f t="shared" si="33"/>
        <v>0</v>
      </c>
      <c r="BF10" s="5">
        <f t="shared" si="34"/>
        <v>0</v>
      </c>
      <c r="BG10" s="5">
        <f t="shared" si="35"/>
        <v>0</v>
      </c>
      <c r="BH10" s="5">
        <f t="shared" si="36"/>
        <v>0</v>
      </c>
      <c r="BI10" s="5">
        <f t="shared" si="37"/>
        <v>0</v>
      </c>
      <c r="BJ10" s="5" t="str">
        <f t="shared" si="38"/>
        <v>1</v>
      </c>
    </row>
    <row r="11" spans="1:65" x14ac:dyDescent="0.35">
      <c r="A11" t="s">
        <v>15</v>
      </c>
      <c r="B11" s="3" t="s">
        <v>22</v>
      </c>
      <c r="C11">
        <f t="shared" si="39"/>
        <v>-26281</v>
      </c>
      <c r="E11" t="s">
        <v>39</v>
      </c>
      <c r="F11" s="3" t="s">
        <v>45</v>
      </c>
      <c r="G11" s="6" t="str">
        <f t="shared" si="3"/>
        <v>110011010101001</v>
      </c>
      <c r="H11" s="6" t="str" cm="1">
        <f t="array" ref="H11">_xlfn.CONCAT(MID(G11,_xlfn.SEQUENCE(LEN(G11),,LEN(G11),-1),1))</f>
        <v>100101010110011</v>
      </c>
      <c r="I11" s="6">
        <f t="shared" si="4"/>
        <v>15</v>
      </c>
      <c r="J11" s="6">
        <f t="shared" si="5"/>
        <v>0</v>
      </c>
      <c r="K11" s="12" t="b">
        <f t="shared" si="6"/>
        <v>1</v>
      </c>
      <c r="L11" s="7">
        <f t="shared" si="7"/>
        <v>1</v>
      </c>
      <c r="M11" s="7">
        <f t="shared" si="8"/>
        <v>0</v>
      </c>
      <c r="N11" s="7">
        <f t="shared" si="9"/>
        <v>0</v>
      </c>
      <c r="O11" s="16">
        <f t="shared" si="10"/>
        <v>1</v>
      </c>
      <c r="P11" s="7">
        <f t="shared" si="11"/>
        <v>1</v>
      </c>
      <c r="Q11" s="7">
        <f t="shared" si="12"/>
        <v>0</v>
      </c>
      <c r="R11" s="7">
        <f t="shared" si="13"/>
        <v>0</v>
      </c>
      <c r="S11" s="16">
        <f t="shared" si="14"/>
        <v>1</v>
      </c>
      <c r="T11" s="7">
        <f t="shared" si="15"/>
        <v>0</v>
      </c>
      <c r="U11" s="7">
        <f t="shared" si="16"/>
        <v>1</v>
      </c>
      <c r="V11" s="7">
        <f t="shared" si="17"/>
        <v>0</v>
      </c>
      <c r="W11" s="16">
        <f t="shared" si="18"/>
        <v>1</v>
      </c>
      <c r="X11" s="7">
        <f t="shared" si="19"/>
        <v>0</v>
      </c>
      <c r="Y11" s="7">
        <f t="shared" si="20"/>
        <v>1</v>
      </c>
      <c r="Z11" s="7">
        <f t="shared" si="21"/>
        <v>1</v>
      </c>
      <c r="AA11" s="14" t="str">
        <f t="shared" si="22"/>
        <v>1</v>
      </c>
      <c r="AD11" s="5">
        <f t="shared" si="1"/>
        <v>0</v>
      </c>
      <c r="AE11" s="5" t="str">
        <f t="shared" si="1"/>
        <v>1</v>
      </c>
      <c r="AF11" s="5" t="str">
        <f t="shared" si="1"/>
        <v>1</v>
      </c>
      <c r="AG11" s="5" t="str">
        <f t="shared" si="1"/>
        <v>0</v>
      </c>
      <c r="AH11" s="5" t="str">
        <f t="shared" si="1"/>
        <v>0</v>
      </c>
      <c r="AI11" s="5" t="str">
        <f t="shared" si="1"/>
        <v>1</v>
      </c>
      <c r="AJ11" s="5" t="str">
        <f t="shared" si="1"/>
        <v>1</v>
      </c>
      <c r="AK11" s="5" t="str">
        <f t="shared" si="1"/>
        <v>0</v>
      </c>
      <c r="AL11" s="5" t="str">
        <f t="shared" si="1"/>
        <v>1</v>
      </c>
      <c r="AM11" s="5" t="str">
        <f t="shared" si="1"/>
        <v>0</v>
      </c>
      <c r="AN11" s="5" t="str">
        <f t="shared" si="1"/>
        <v>1</v>
      </c>
      <c r="AO11" s="5" t="str">
        <f t="shared" si="1"/>
        <v>0</v>
      </c>
      <c r="AP11" s="5" t="str">
        <f t="shared" si="1"/>
        <v>1</v>
      </c>
      <c r="AQ11" s="5" t="str">
        <f t="shared" si="1"/>
        <v>0</v>
      </c>
      <c r="AR11" s="5" t="str">
        <f t="shared" si="1"/>
        <v>0</v>
      </c>
      <c r="AS11" s="5" t="str">
        <f t="shared" si="1"/>
        <v>1</v>
      </c>
      <c r="AU11" s="5">
        <f t="shared" si="23"/>
        <v>1</v>
      </c>
      <c r="AV11" s="5">
        <f t="shared" si="24"/>
        <v>0</v>
      </c>
      <c r="AW11" s="5">
        <f t="shared" si="25"/>
        <v>0</v>
      </c>
      <c r="AX11" s="5">
        <f t="shared" si="26"/>
        <v>1</v>
      </c>
      <c r="AY11" s="5">
        <f t="shared" si="27"/>
        <v>1</v>
      </c>
      <c r="AZ11" s="5">
        <f t="shared" si="28"/>
        <v>0</v>
      </c>
      <c r="BA11" s="5">
        <f t="shared" si="29"/>
        <v>0</v>
      </c>
      <c r="BB11" s="5">
        <f t="shared" si="30"/>
        <v>1</v>
      </c>
      <c r="BC11" s="5">
        <f t="shared" si="31"/>
        <v>0</v>
      </c>
      <c r="BD11" s="5">
        <f t="shared" si="32"/>
        <v>1</v>
      </c>
      <c r="BE11" s="5">
        <f t="shared" si="33"/>
        <v>0</v>
      </c>
      <c r="BF11" s="5">
        <f t="shared" si="34"/>
        <v>1</v>
      </c>
      <c r="BG11" s="5">
        <f t="shared" si="35"/>
        <v>0</v>
      </c>
      <c r="BH11" s="5">
        <f t="shared" si="36"/>
        <v>1</v>
      </c>
      <c r="BI11" s="5">
        <f t="shared" si="37"/>
        <v>1</v>
      </c>
      <c r="BJ11" s="5" t="str">
        <f t="shared" si="38"/>
        <v>1</v>
      </c>
    </row>
    <row r="12" spans="1:65" x14ac:dyDescent="0.35">
      <c r="A12" t="s">
        <v>16</v>
      </c>
      <c r="B12" s="3" t="s">
        <v>23</v>
      </c>
      <c r="C12">
        <f t="shared" si="39"/>
        <v>-31848</v>
      </c>
      <c r="E12" t="s">
        <v>40</v>
      </c>
      <c r="F12" s="3" t="s">
        <v>46</v>
      </c>
      <c r="G12" s="6" t="str">
        <f t="shared" si="3"/>
        <v>111110001101000</v>
      </c>
      <c r="H12" s="6" t="str" cm="1">
        <f t="array" ref="H12">_xlfn.CONCAT(MID(G12,_xlfn.SEQUENCE(LEN(G12),,LEN(G12),-1),1))</f>
        <v>000101100011111</v>
      </c>
      <c r="I12" s="6">
        <f t="shared" si="4"/>
        <v>15</v>
      </c>
      <c r="J12" s="6">
        <f t="shared" si="5"/>
        <v>3</v>
      </c>
      <c r="K12" s="12" t="b">
        <f t="shared" si="6"/>
        <v>1</v>
      </c>
      <c r="L12" s="7">
        <f t="shared" si="7"/>
        <v>1</v>
      </c>
      <c r="M12" s="7">
        <f t="shared" si="8"/>
        <v>0</v>
      </c>
      <c r="N12" s="7">
        <f t="shared" si="9"/>
        <v>0</v>
      </c>
      <c r="O12" s="16">
        <f t="shared" si="10"/>
        <v>0</v>
      </c>
      <c r="P12" s="7">
        <f t="shared" si="11"/>
        <v>0</v>
      </c>
      <c r="Q12" s="7">
        <f t="shared" si="12"/>
        <v>0</v>
      </c>
      <c r="R12" s="7">
        <f t="shared" si="13"/>
        <v>1</v>
      </c>
      <c r="S12" s="16">
        <f t="shared" si="14"/>
        <v>1</v>
      </c>
      <c r="T12" s="7">
        <f t="shared" si="15"/>
        <v>1</v>
      </c>
      <c r="U12" s="7">
        <f t="shared" si="16"/>
        <v>0</v>
      </c>
      <c r="V12" s="7">
        <f t="shared" si="17"/>
        <v>0</v>
      </c>
      <c r="W12" s="16">
        <f t="shared" si="18"/>
        <v>1</v>
      </c>
      <c r="X12" s="7" t="str">
        <f t="shared" si="19"/>
        <v>1</v>
      </c>
      <c r="Y12" s="7" t="str">
        <f t="shared" si="20"/>
        <v>0</v>
      </c>
      <c r="Z12" s="7" t="str">
        <f t="shared" si="21"/>
        <v>0</v>
      </c>
      <c r="AA12" s="14" t="str">
        <f t="shared" si="22"/>
        <v>0</v>
      </c>
      <c r="AD12" s="5">
        <f t="shared" si="1"/>
        <v>0</v>
      </c>
      <c r="AE12" s="5" t="str">
        <f t="shared" si="1"/>
        <v>1</v>
      </c>
      <c r="AF12" s="5" t="str">
        <f t="shared" si="1"/>
        <v>1</v>
      </c>
      <c r="AG12" s="5" t="str">
        <f t="shared" si="1"/>
        <v>1</v>
      </c>
      <c r="AH12" s="5" t="str">
        <f t="shared" si="1"/>
        <v>1</v>
      </c>
      <c r="AI12" s="5" t="str">
        <f t="shared" si="1"/>
        <v>1</v>
      </c>
      <c r="AJ12" s="5" t="str">
        <f t="shared" si="1"/>
        <v>0</v>
      </c>
      <c r="AK12" s="5" t="str">
        <f t="shared" si="1"/>
        <v>0</v>
      </c>
      <c r="AL12" s="5" t="str">
        <f t="shared" si="1"/>
        <v>0</v>
      </c>
      <c r="AM12" s="5" t="str">
        <f t="shared" si="1"/>
        <v>1</v>
      </c>
      <c r="AN12" s="5" t="str">
        <f t="shared" si="1"/>
        <v>1</v>
      </c>
      <c r="AO12" s="5" t="str">
        <f t="shared" si="1"/>
        <v>0</v>
      </c>
      <c r="AP12" s="5" t="str">
        <f t="shared" si="1"/>
        <v>1</v>
      </c>
      <c r="AQ12" s="5" t="str">
        <f t="shared" si="1"/>
        <v>0</v>
      </c>
      <c r="AR12" s="5" t="str">
        <f t="shared" si="1"/>
        <v>0</v>
      </c>
      <c r="AS12" s="5" t="str">
        <f t="shared" si="1"/>
        <v>0</v>
      </c>
      <c r="AU12" s="5">
        <f t="shared" si="23"/>
        <v>1</v>
      </c>
      <c r="AV12" s="5">
        <f t="shared" si="24"/>
        <v>0</v>
      </c>
      <c r="AW12" s="5">
        <f t="shared" si="25"/>
        <v>0</v>
      </c>
      <c r="AX12" s="5">
        <f t="shared" si="26"/>
        <v>0</v>
      </c>
      <c r="AY12" s="5">
        <f t="shared" si="27"/>
        <v>0</v>
      </c>
      <c r="AZ12" s="5">
        <f t="shared" si="28"/>
        <v>0</v>
      </c>
      <c r="BA12" s="5">
        <f t="shared" si="29"/>
        <v>1</v>
      </c>
      <c r="BB12" s="5">
        <f t="shared" si="30"/>
        <v>1</v>
      </c>
      <c r="BC12" s="5">
        <f t="shared" si="31"/>
        <v>1</v>
      </c>
      <c r="BD12" s="5">
        <f t="shared" si="32"/>
        <v>0</v>
      </c>
      <c r="BE12" s="5">
        <f t="shared" si="33"/>
        <v>0</v>
      </c>
      <c r="BF12" s="5">
        <f t="shared" si="34"/>
        <v>1</v>
      </c>
      <c r="BG12" s="5" t="str">
        <f t="shared" si="35"/>
        <v>1</v>
      </c>
      <c r="BH12" s="5" t="str">
        <f t="shared" si="36"/>
        <v>0</v>
      </c>
      <c r="BI12" s="5" t="str">
        <f t="shared" si="37"/>
        <v>0</v>
      </c>
      <c r="BJ12" s="5" t="str">
        <f t="shared" si="38"/>
        <v>0</v>
      </c>
    </row>
    <row r="13" spans="1:65" x14ac:dyDescent="0.35">
      <c r="A13" t="s">
        <v>17</v>
      </c>
      <c r="B13" s="3" t="s">
        <v>24</v>
      </c>
      <c r="C13">
        <f t="shared" si="39"/>
        <v>-58129</v>
      </c>
      <c r="E13" t="s">
        <v>41</v>
      </c>
      <c r="F13" s="3" t="s">
        <v>47</v>
      </c>
      <c r="G13" s="6" t="str">
        <f t="shared" si="3"/>
        <v>1110001100010001</v>
      </c>
      <c r="H13" s="6" t="str" cm="1">
        <f t="array" ref="H13">_xlfn.CONCAT(MID(G13,_xlfn.SEQUENCE(LEN(G13),,LEN(G13),-1),1))</f>
        <v>1000100011000111</v>
      </c>
      <c r="I13" s="6">
        <f t="shared" si="4"/>
        <v>16</v>
      </c>
      <c r="J13" s="6">
        <f t="shared" si="5"/>
        <v>0</v>
      </c>
      <c r="K13" s="12" t="b">
        <f t="shared" si="6"/>
        <v>1</v>
      </c>
      <c r="L13" s="7">
        <f t="shared" si="7"/>
        <v>0</v>
      </c>
      <c r="M13" s="7">
        <f t="shared" si="8"/>
        <v>0</v>
      </c>
      <c r="N13" s="7">
        <f t="shared" si="9"/>
        <v>0</v>
      </c>
      <c r="O13" s="16">
        <f t="shared" si="10"/>
        <v>1</v>
      </c>
      <c r="P13" s="7">
        <f t="shared" si="11"/>
        <v>1</v>
      </c>
      <c r="Q13" s="7">
        <f t="shared" si="12"/>
        <v>1</v>
      </c>
      <c r="R13" s="7">
        <f t="shared" si="13"/>
        <v>0</v>
      </c>
      <c r="S13" s="16">
        <f t="shared" si="14"/>
        <v>0</v>
      </c>
      <c r="T13" s="7">
        <f t="shared" si="15"/>
        <v>1</v>
      </c>
      <c r="U13" s="7">
        <f t="shared" si="16"/>
        <v>1</v>
      </c>
      <c r="V13" s="7">
        <f t="shared" si="17"/>
        <v>1</v>
      </c>
      <c r="W13" s="16">
        <f t="shared" si="18"/>
        <v>0</v>
      </c>
      <c r="X13" s="7">
        <f t="shared" si="19"/>
        <v>1</v>
      </c>
      <c r="Y13" s="7">
        <f t="shared" si="20"/>
        <v>1</v>
      </c>
      <c r="Z13" s="7">
        <f t="shared" si="21"/>
        <v>1</v>
      </c>
      <c r="AA13" s="14" t="str">
        <f t="shared" si="22"/>
        <v>1</v>
      </c>
      <c r="AD13" s="5" t="str">
        <f t="shared" si="1"/>
        <v>1</v>
      </c>
      <c r="AE13" s="5" t="str">
        <f t="shared" si="1"/>
        <v>1</v>
      </c>
      <c r="AF13" s="5" t="str">
        <f t="shared" si="1"/>
        <v>1</v>
      </c>
      <c r="AG13" s="5" t="str">
        <f t="shared" si="1"/>
        <v>0</v>
      </c>
      <c r="AH13" s="5" t="str">
        <f t="shared" si="1"/>
        <v>0</v>
      </c>
      <c r="AI13" s="5" t="str">
        <f t="shared" si="1"/>
        <v>0</v>
      </c>
      <c r="AJ13" s="5" t="str">
        <f t="shared" si="1"/>
        <v>1</v>
      </c>
      <c r="AK13" s="5" t="str">
        <f t="shared" si="1"/>
        <v>1</v>
      </c>
      <c r="AL13" s="5" t="str">
        <f t="shared" si="1"/>
        <v>0</v>
      </c>
      <c r="AM13" s="5" t="str">
        <f t="shared" si="1"/>
        <v>0</v>
      </c>
      <c r="AN13" s="5" t="str">
        <f t="shared" si="1"/>
        <v>0</v>
      </c>
      <c r="AO13" s="5" t="str">
        <f t="shared" si="1"/>
        <v>1</v>
      </c>
      <c r="AP13" s="5" t="str">
        <f t="shared" si="1"/>
        <v>0</v>
      </c>
      <c r="AQ13" s="5" t="str">
        <f t="shared" si="1"/>
        <v>0</v>
      </c>
      <c r="AR13" s="5" t="str">
        <f t="shared" si="1"/>
        <v>0</v>
      </c>
      <c r="AS13" s="5" t="str">
        <f t="shared" si="1"/>
        <v>1</v>
      </c>
      <c r="AU13" s="5">
        <f t="shared" si="23"/>
        <v>0</v>
      </c>
      <c r="AV13" s="5">
        <f t="shared" si="24"/>
        <v>0</v>
      </c>
      <c r="AW13" s="5">
        <f t="shared" si="25"/>
        <v>0</v>
      </c>
      <c r="AX13" s="5">
        <f t="shared" si="26"/>
        <v>1</v>
      </c>
      <c r="AY13" s="5">
        <f t="shared" si="27"/>
        <v>1</v>
      </c>
      <c r="AZ13" s="5">
        <f t="shared" si="28"/>
        <v>1</v>
      </c>
      <c r="BA13" s="5">
        <f t="shared" si="29"/>
        <v>0</v>
      </c>
      <c r="BB13" s="5">
        <f t="shared" si="30"/>
        <v>0</v>
      </c>
      <c r="BC13" s="5">
        <f t="shared" si="31"/>
        <v>1</v>
      </c>
      <c r="BD13" s="5">
        <f t="shared" si="32"/>
        <v>1</v>
      </c>
      <c r="BE13" s="5">
        <f t="shared" si="33"/>
        <v>1</v>
      </c>
      <c r="BF13" s="5">
        <f t="shared" si="34"/>
        <v>0</v>
      </c>
      <c r="BG13" s="5">
        <f t="shared" si="35"/>
        <v>1</v>
      </c>
      <c r="BH13" s="5">
        <f t="shared" si="36"/>
        <v>1</v>
      </c>
      <c r="BI13" s="5">
        <f t="shared" si="37"/>
        <v>1</v>
      </c>
      <c r="BJ13" s="5" t="str">
        <f t="shared" si="38"/>
        <v>1</v>
      </c>
    </row>
    <row r="14" spans="1:65" x14ac:dyDescent="0.35">
      <c r="A14" t="s">
        <v>18</v>
      </c>
      <c r="B14" s="3" t="s">
        <v>25</v>
      </c>
      <c r="C14">
        <f t="shared" si="39"/>
        <v>-20714</v>
      </c>
      <c r="E14" t="s">
        <v>42</v>
      </c>
      <c r="F14" s="3" t="s">
        <v>48</v>
      </c>
      <c r="G14" s="6" t="str">
        <f t="shared" si="3"/>
        <v>101000011101010</v>
      </c>
      <c r="H14" s="6" t="str" cm="1">
        <f t="array" ref="H14">_xlfn.CONCAT(MID(G14,_xlfn.SEQUENCE(LEN(G14),,LEN(G14),-1),1))</f>
        <v>010101110000101</v>
      </c>
      <c r="I14" s="6">
        <f t="shared" si="4"/>
        <v>15</v>
      </c>
      <c r="J14" s="6">
        <f t="shared" si="5"/>
        <v>1</v>
      </c>
      <c r="K14" s="12" t="b">
        <f t="shared" si="6"/>
        <v>1</v>
      </c>
      <c r="L14" s="7">
        <f t="shared" si="7"/>
        <v>1</v>
      </c>
      <c r="M14" s="7">
        <f t="shared" si="8"/>
        <v>0</v>
      </c>
      <c r="N14" s="7">
        <f t="shared" si="9"/>
        <v>1</v>
      </c>
      <c r="O14" s="16">
        <f t="shared" si="10"/>
        <v>0</v>
      </c>
      <c r="P14" s="7">
        <f t="shared" si="11"/>
        <v>1</v>
      </c>
      <c r="Q14" s="7">
        <f t="shared" si="12"/>
        <v>1</v>
      </c>
      <c r="R14" s="7">
        <f t="shared" si="13"/>
        <v>1</v>
      </c>
      <c r="S14" s="16">
        <f t="shared" si="14"/>
        <v>1</v>
      </c>
      <c r="T14" s="7">
        <f t="shared" si="15"/>
        <v>0</v>
      </c>
      <c r="U14" s="7">
        <f t="shared" si="16"/>
        <v>0</v>
      </c>
      <c r="V14" s="7">
        <f t="shared" si="17"/>
        <v>0</v>
      </c>
      <c r="W14" s="16">
        <f t="shared" si="18"/>
        <v>1</v>
      </c>
      <c r="X14" s="7">
        <f t="shared" si="19"/>
        <v>0</v>
      </c>
      <c r="Y14" s="7">
        <f t="shared" si="20"/>
        <v>1</v>
      </c>
      <c r="Z14" s="7" t="str">
        <f t="shared" si="21"/>
        <v>1</v>
      </c>
      <c r="AA14" s="14" t="str">
        <f t="shared" si="22"/>
        <v>0</v>
      </c>
      <c r="AD14" s="5">
        <f t="shared" si="1"/>
        <v>0</v>
      </c>
      <c r="AE14" s="5" t="str">
        <f t="shared" si="1"/>
        <v>1</v>
      </c>
      <c r="AF14" s="5" t="str">
        <f t="shared" si="1"/>
        <v>0</v>
      </c>
      <c r="AG14" s="5" t="str">
        <f t="shared" si="1"/>
        <v>1</v>
      </c>
      <c r="AH14" s="5" t="str">
        <f t="shared" si="1"/>
        <v>0</v>
      </c>
      <c r="AI14" s="5" t="str">
        <f t="shared" si="1"/>
        <v>0</v>
      </c>
      <c r="AJ14" s="5" t="str">
        <f t="shared" si="1"/>
        <v>0</v>
      </c>
      <c r="AK14" s="5" t="str">
        <f t="shared" si="1"/>
        <v>0</v>
      </c>
      <c r="AL14" s="5" t="str">
        <f t="shared" si="1"/>
        <v>1</v>
      </c>
      <c r="AM14" s="5" t="str">
        <f t="shared" si="1"/>
        <v>1</v>
      </c>
      <c r="AN14" s="5" t="str">
        <f t="shared" si="1"/>
        <v>1</v>
      </c>
      <c r="AO14" s="5" t="str">
        <f t="shared" si="1"/>
        <v>0</v>
      </c>
      <c r="AP14" s="5" t="str">
        <f t="shared" si="1"/>
        <v>1</v>
      </c>
      <c r="AQ14" s="5" t="str">
        <f t="shared" si="1"/>
        <v>0</v>
      </c>
      <c r="AR14" s="5" t="str">
        <f t="shared" si="1"/>
        <v>1</v>
      </c>
      <c r="AS14" s="5" t="str">
        <f>IF($I14&gt;AS$3,MID($G14,$I14-AS$3,1),0)</f>
        <v>0</v>
      </c>
      <c r="AU14" s="5">
        <f t="shared" si="23"/>
        <v>1</v>
      </c>
      <c r="AV14" s="5">
        <f t="shared" si="24"/>
        <v>0</v>
      </c>
      <c r="AW14" s="5">
        <f t="shared" si="25"/>
        <v>1</v>
      </c>
      <c r="AX14" s="5">
        <f t="shared" si="26"/>
        <v>0</v>
      </c>
      <c r="AY14" s="5">
        <f t="shared" si="27"/>
        <v>1</v>
      </c>
      <c r="AZ14" s="5">
        <f t="shared" si="28"/>
        <v>1</v>
      </c>
      <c r="BA14" s="5">
        <f t="shared" si="29"/>
        <v>1</v>
      </c>
      <c r="BB14" s="5">
        <f t="shared" si="30"/>
        <v>1</v>
      </c>
      <c r="BC14" s="5">
        <f t="shared" si="31"/>
        <v>0</v>
      </c>
      <c r="BD14" s="5">
        <f t="shared" si="32"/>
        <v>0</v>
      </c>
      <c r="BE14" s="5">
        <f t="shared" si="33"/>
        <v>0</v>
      </c>
      <c r="BF14" s="5">
        <f t="shared" si="34"/>
        <v>1</v>
      </c>
      <c r="BG14" s="5">
        <f t="shared" si="35"/>
        <v>0</v>
      </c>
      <c r="BH14" s="5">
        <f t="shared" si="36"/>
        <v>1</v>
      </c>
      <c r="BI14" s="5" t="str">
        <f t="shared" si="37"/>
        <v>1</v>
      </c>
      <c r="BJ14" s="5" t="str">
        <f t="shared" si="38"/>
        <v>0</v>
      </c>
    </row>
    <row r="15" spans="1:65" x14ac:dyDescent="0.35">
      <c r="A15" t="s">
        <v>19</v>
      </c>
      <c r="B15" s="3" t="s">
        <v>26</v>
      </c>
      <c r="C15">
        <f t="shared" si="39"/>
        <v>-7407</v>
      </c>
      <c r="E15" t="s">
        <v>43</v>
      </c>
      <c r="F15" s="3" t="s">
        <v>49</v>
      </c>
      <c r="G15" s="6" t="str">
        <f t="shared" si="3"/>
        <v>1110011101111</v>
      </c>
      <c r="H15" s="6" t="str" cm="1">
        <f t="array" ref="H15">_xlfn.CONCAT(MID(G15,_xlfn.SEQUENCE(LEN(G15),,LEN(G15),-1),1))</f>
        <v>1111011100111</v>
      </c>
      <c r="I15" s="6">
        <f t="shared" si="4"/>
        <v>13</v>
      </c>
      <c r="J15" s="6">
        <f t="shared" si="5"/>
        <v>0</v>
      </c>
      <c r="K15" s="12" t="b">
        <f t="shared" si="6"/>
        <v>1</v>
      </c>
      <c r="L15" s="7">
        <f t="shared" si="7"/>
        <v>1</v>
      </c>
      <c r="M15" s="7">
        <f t="shared" si="8"/>
        <v>1</v>
      </c>
      <c r="N15" s="7">
        <f t="shared" si="9"/>
        <v>1</v>
      </c>
      <c r="O15" s="16">
        <f t="shared" si="10"/>
        <v>0</v>
      </c>
      <c r="P15" s="7">
        <f t="shared" si="11"/>
        <v>0</v>
      </c>
      <c r="Q15" s="7">
        <f t="shared" si="12"/>
        <v>0</v>
      </c>
      <c r="R15" s="7">
        <f t="shared" si="13"/>
        <v>1</v>
      </c>
      <c r="S15" s="16">
        <f t="shared" si="14"/>
        <v>1</v>
      </c>
      <c r="T15" s="7">
        <f t="shared" si="15"/>
        <v>0</v>
      </c>
      <c r="U15" s="7">
        <f t="shared" si="16"/>
        <v>0</v>
      </c>
      <c r="V15" s="7">
        <f t="shared" si="17"/>
        <v>0</v>
      </c>
      <c r="W15" s="16">
        <f t="shared" si="18"/>
        <v>1</v>
      </c>
      <c r="X15" s="7">
        <f t="shared" si="19"/>
        <v>0</v>
      </c>
      <c r="Y15" s="7">
        <f t="shared" si="20"/>
        <v>0</v>
      </c>
      <c r="Z15" s="7">
        <f t="shared" si="21"/>
        <v>0</v>
      </c>
      <c r="AA15" s="14" t="str">
        <f t="shared" si="22"/>
        <v>1</v>
      </c>
      <c r="AD15" s="5">
        <f t="shared" si="1"/>
        <v>0</v>
      </c>
      <c r="AE15" s="5">
        <f t="shared" si="1"/>
        <v>0</v>
      </c>
      <c r="AF15" s="5">
        <f t="shared" si="1"/>
        <v>0</v>
      </c>
      <c r="AG15" s="5" t="str">
        <f t="shared" si="1"/>
        <v>1</v>
      </c>
      <c r="AH15" s="5" t="str">
        <f t="shared" si="1"/>
        <v>1</v>
      </c>
      <c r="AI15" s="5" t="str">
        <f t="shared" si="1"/>
        <v>1</v>
      </c>
      <c r="AJ15" s="5" t="str">
        <f t="shared" si="1"/>
        <v>0</v>
      </c>
      <c r="AK15" s="5" t="str">
        <f t="shared" si="1"/>
        <v>0</v>
      </c>
      <c r="AL15" s="5" t="str">
        <f t="shared" si="1"/>
        <v>1</v>
      </c>
      <c r="AM15" s="5" t="str">
        <f t="shared" si="1"/>
        <v>1</v>
      </c>
      <c r="AN15" s="5" t="str">
        <f t="shared" si="1"/>
        <v>1</v>
      </c>
      <c r="AO15" s="5" t="str">
        <f t="shared" si="1"/>
        <v>0</v>
      </c>
      <c r="AP15" s="5" t="str">
        <f t="shared" si="1"/>
        <v>1</v>
      </c>
      <c r="AQ15" s="5" t="str">
        <f t="shared" si="1"/>
        <v>1</v>
      </c>
      <c r="AR15" s="5" t="str">
        <f t="shared" si="1"/>
        <v>1</v>
      </c>
      <c r="AS15" s="5" t="str">
        <f t="shared" si="1"/>
        <v>1</v>
      </c>
      <c r="AU15" s="5">
        <f t="shared" si="23"/>
        <v>1</v>
      </c>
      <c r="AV15" s="5">
        <f t="shared" si="24"/>
        <v>1</v>
      </c>
      <c r="AW15" s="5">
        <f t="shared" si="25"/>
        <v>1</v>
      </c>
      <c r="AX15" s="5">
        <f t="shared" si="26"/>
        <v>0</v>
      </c>
      <c r="AY15" s="5">
        <f t="shared" si="27"/>
        <v>0</v>
      </c>
      <c r="AZ15" s="5">
        <f t="shared" si="28"/>
        <v>0</v>
      </c>
      <c r="BA15" s="5">
        <f t="shared" si="29"/>
        <v>1</v>
      </c>
      <c r="BB15" s="5">
        <f t="shared" si="30"/>
        <v>1</v>
      </c>
      <c r="BC15" s="5">
        <f t="shared" si="31"/>
        <v>0</v>
      </c>
      <c r="BD15" s="5">
        <f t="shared" si="32"/>
        <v>0</v>
      </c>
      <c r="BE15" s="5">
        <f t="shared" si="33"/>
        <v>0</v>
      </c>
      <c r="BF15" s="5">
        <f t="shared" si="34"/>
        <v>1</v>
      </c>
      <c r="BG15" s="5">
        <f t="shared" si="35"/>
        <v>0</v>
      </c>
      <c r="BH15" s="5">
        <f t="shared" si="36"/>
        <v>0</v>
      </c>
      <c r="BI15" s="5">
        <f t="shared" si="37"/>
        <v>0</v>
      </c>
      <c r="BJ15" s="5" t="str">
        <f t="shared" si="38"/>
        <v>1</v>
      </c>
    </row>
    <row r="17" spans="7:48" x14ac:dyDescent="0.35">
      <c r="K17" s="4" t="s">
        <v>61</v>
      </c>
      <c r="L17" s="23">
        <f t="shared" ref="L17:O17" si="40">IF(LEN(_xlfn.BASE(M19+M18+M17,2))&lt;&gt;1,MID(_xlfn.BASE(M19+M18+M17,2),1,1),0)</f>
        <v>0</v>
      </c>
      <c r="M17" s="25">
        <f t="shared" si="40"/>
        <v>0</v>
      </c>
      <c r="N17" s="23">
        <f t="shared" si="40"/>
        <v>0</v>
      </c>
      <c r="O17" s="22">
        <f t="shared" si="40"/>
        <v>0</v>
      </c>
      <c r="P17" s="23" t="str">
        <f>IF(LEN(_xlfn.BASE(Q19+Q18+Q17,2))&lt;&gt;1,MID(_xlfn.BASE(Q19+Q18+Q17,2),1,1),0)</f>
        <v>1</v>
      </c>
      <c r="Q17" s="23" t="str">
        <f t="shared" ref="Q17:AA17" si="41">IF(LEN(_xlfn.BASE(R19+R18+R17,2))&lt;&gt;1,MID(_xlfn.BASE(R19+R18+R17,2),1,1),0)</f>
        <v>1</v>
      </c>
      <c r="R17" s="23" t="str">
        <f t="shared" si="41"/>
        <v>1</v>
      </c>
      <c r="S17" s="22" t="str">
        <f t="shared" si="41"/>
        <v>1</v>
      </c>
      <c r="T17" s="23">
        <f t="shared" si="41"/>
        <v>0</v>
      </c>
      <c r="U17" s="23" t="str">
        <f t="shared" si="41"/>
        <v>1</v>
      </c>
      <c r="V17" s="23" t="str">
        <f t="shared" si="41"/>
        <v>1</v>
      </c>
      <c r="W17" s="22" t="str">
        <f t="shared" si="41"/>
        <v>1</v>
      </c>
      <c r="X17" s="23" t="str">
        <f t="shared" si="41"/>
        <v>1</v>
      </c>
      <c r="Y17" s="23" t="str">
        <f t="shared" si="41"/>
        <v>1</v>
      </c>
      <c r="Z17" s="23" t="str">
        <f t="shared" si="41"/>
        <v>1</v>
      </c>
      <c r="AA17" s="23">
        <f t="shared" si="41"/>
        <v>0</v>
      </c>
    </row>
    <row r="18" spans="7:48" ht="14.5" customHeight="1" x14ac:dyDescent="0.35">
      <c r="K18" t="s">
        <v>27</v>
      </c>
      <c r="L18" s="20">
        <f t="shared" ref="L18:AA18" si="42">L4</f>
        <v>0</v>
      </c>
      <c r="M18" s="17">
        <f t="shared" si="42"/>
        <v>0</v>
      </c>
      <c r="N18" s="17">
        <f t="shared" si="42"/>
        <v>0</v>
      </c>
      <c r="O18" s="20" t="str">
        <f t="shared" si="42"/>
        <v>1</v>
      </c>
      <c r="P18" s="17" t="str">
        <f t="shared" si="42"/>
        <v>0</v>
      </c>
      <c r="Q18" s="17" t="str">
        <f t="shared" si="42"/>
        <v>1</v>
      </c>
      <c r="R18" s="17" t="str">
        <f t="shared" si="42"/>
        <v>0</v>
      </c>
      <c r="S18" s="20" t="str">
        <f t="shared" si="42"/>
        <v>1</v>
      </c>
      <c r="T18" s="17" t="str">
        <f t="shared" si="42"/>
        <v>1</v>
      </c>
      <c r="U18" s="17" t="str">
        <f t="shared" si="42"/>
        <v>0</v>
      </c>
      <c r="V18" s="17" t="str">
        <f t="shared" si="42"/>
        <v>1</v>
      </c>
      <c r="W18" s="20" t="str">
        <f t="shared" si="42"/>
        <v>1</v>
      </c>
      <c r="X18" s="17" t="str">
        <f t="shared" si="42"/>
        <v>1</v>
      </c>
      <c r="Y18" s="17" t="str">
        <f t="shared" si="42"/>
        <v>1</v>
      </c>
      <c r="Z18" s="17" t="str">
        <f t="shared" si="42"/>
        <v>1</v>
      </c>
      <c r="AA18" s="17" t="str">
        <f t="shared" si="42"/>
        <v>1</v>
      </c>
      <c r="AD18" s="27" t="s">
        <v>62</v>
      </c>
      <c r="AE18" s="27"/>
      <c r="AF18" s="28" t="str">
        <f>IF(V23=0,IF(AC20=AD20,IF(N22=0,$BM$3,$BM$5),0),$BM$4)</f>
        <v>Результат верный</v>
      </c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</row>
    <row r="19" spans="7:48" ht="15" thickBot="1" x14ac:dyDescent="0.4">
      <c r="K19" s="3" t="s">
        <v>60</v>
      </c>
      <c r="L19" s="21">
        <f t="shared" ref="L19:AA19" si="43">L5</f>
        <v>0</v>
      </c>
      <c r="M19" s="18" t="str">
        <f t="shared" si="43"/>
        <v>1</v>
      </c>
      <c r="N19" s="18" t="str">
        <f t="shared" si="43"/>
        <v>1</v>
      </c>
      <c r="O19" s="21" t="str">
        <f t="shared" si="43"/>
        <v>0</v>
      </c>
      <c r="P19" s="18" t="str">
        <f t="shared" si="43"/>
        <v>0</v>
      </c>
      <c r="Q19" s="18" t="str">
        <f t="shared" si="43"/>
        <v>1</v>
      </c>
      <c r="R19" s="18" t="str">
        <f t="shared" si="43"/>
        <v>1</v>
      </c>
      <c r="S19" s="21" t="str">
        <f t="shared" si="43"/>
        <v>0</v>
      </c>
      <c r="T19" s="18" t="str">
        <f t="shared" si="43"/>
        <v>1</v>
      </c>
      <c r="U19" s="18" t="str">
        <f t="shared" si="43"/>
        <v>0</v>
      </c>
      <c r="V19" s="18" t="str">
        <f t="shared" si="43"/>
        <v>1</v>
      </c>
      <c r="W19" s="21" t="str">
        <f t="shared" si="43"/>
        <v>0</v>
      </c>
      <c r="X19" s="18" t="str">
        <f t="shared" si="43"/>
        <v>1</v>
      </c>
      <c r="Y19" s="18" t="str">
        <f t="shared" si="43"/>
        <v>0</v>
      </c>
      <c r="Z19" s="18" t="str">
        <f t="shared" si="43"/>
        <v>0</v>
      </c>
      <c r="AA19" s="18" t="str">
        <f t="shared" si="43"/>
        <v>1</v>
      </c>
      <c r="AD19" s="29" t="s">
        <v>63</v>
      </c>
      <c r="AE19" s="29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</row>
    <row r="20" spans="7:48" x14ac:dyDescent="0.35">
      <c r="L20" s="19">
        <f t="shared" ref="L20:AA20" si="44">IF(LEN(_xlfn.BASE(L19+L18+L17,2))&lt;&gt;1,MID(_xlfn.BASE(L19+L18+L17,2),2,1),L19+L18+L17)+0</f>
        <v>0</v>
      </c>
      <c r="M20" s="5">
        <f t="shared" si="44"/>
        <v>1</v>
      </c>
      <c r="N20" s="5">
        <f t="shared" si="44"/>
        <v>1</v>
      </c>
      <c r="O20" s="19">
        <f t="shared" si="44"/>
        <v>1</v>
      </c>
      <c r="P20" s="5">
        <f t="shared" si="44"/>
        <v>1</v>
      </c>
      <c r="Q20" s="5">
        <f t="shared" si="44"/>
        <v>1</v>
      </c>
      <c r="R20" s="5">
        <f t="shared" si="44"/>
        <v>0</v>
      </c>
      <c r="S20" s="19">
        <f t="shared" si="44"/>
        <v>0</v>
      </c>
      <c r="T20" s="5">
        <f t="shared" si="44"/>
        <v>0</v>
      </c>
      <c r="U20" s="5">
        <f t="shared" si="44"/>
        <v>1</v>
      </c>
      <c r="V20" s="5">
        <f t="shared" si="44"/>
        <v>1</v>
      </c>
      <c r="W20" s="19">
        <f t="shared" si="44"/>
        <v>0</v>
      </c>
      <c r="X20" s="5">
        <f t="shared" si="44"/>
        <v>1</v>
      </c>
      <c r="Y20" s="5">
        <f t="shared" si="44"/>
        <v>0</v>
      </c>
      <c r="Z20" s="5">
        <f t="shared" si="44"/>
        <v>0</v>
      </c>
      <c r="AA20" s="5">
        <f t="shared" si="44"/>
        <v>0</v>
      </c>
      <c r="AB20" s="3" t="s">
        <v>64</v>
      </c>
      <c r="AC20" s="5">
        <f>IF(R23+0=0,BIN2DEC(LEFT(_xlfn.CONCAT(M20:AA20),7))*2^8+BIN2DEC(RIGHT(_xlfn.CONCAT(M20:AA20),8)),0-BIN2DEC(LEFT(_xlfn.CONCAT(M21:AA21),7))*2^8-BIN2DEC(RIGHT(_xlfn.CONCAT(M21:AA21),8)))</f>
        <v>31848</v>
      </c>
      <c r="AD20" s="27">
        <f>C4+C5</f>
        <v>31848</v>
      </c>
      <c r="AE20" s="27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</row>
    <row r="21" spans="7:48" x14ac:dyDescent="0.35">
      <c r="G21" s="4" t="s">
        <v>55</v>
      </c>
      <c r="H21" s="6" cm="1">
        <f t="array" ref="H21">SEARCH(1,_xlfn.CONCAT(MID(_xlfn.CONCAT(M20:AA20),_xlfn.SEQUENCE(LEN(_xlfn.CONCAT(M20:AA20)),,LEN(_xlfn.CONCAT(M20:AA20)),-1),1)))-1</f>
        <v>3</v>
      </c>
      <c r="J21" s="4" t="s">
        <v>76</v>
      </c>
      <c r="L21" s="5" t="str">
        <f>IF(L20+0=1,1,"")</f>
        <v/>
      </c>
      <c r="M21" s="5" t="str">
        <f>IF($L20+0=1,IF(M$3&lt;=$H21,M20,1-M20),"")</f>
        <v/>
      </c>
      <c r="N21" s="5" t="str">
        <f t="shared" ref="N21:AA21" si="45">IF($L20+0=1,IF(N$3&lt;=$H21,N20,1-N20),"")</f>
        <v/>
      </c>
      <c r="O21" s="5" t="str">
        <f t="shared" si="45"/>
        <v/>
      </c>
      <c r="P21" s="5" t="str">
        <f t="shared" si="45"/>
        <v/>
      </c>
      <c r="Q21" s="5" t="str">
        <f t="shared" si="45"/>
        <v/>
      </c>
      <c r="R21" s="5" t="str">
        <f t="shared" si="45"/>
        <v/>
      </c>
      <c r="S21" s="5" t="str">
        <f t="shared" si="45"/>
        <v/>
      </c>
      <c r="T21" s="5" t="str">
        <f t="shared" si="45"/>
        <v/>
      </c>
      <c r="U21" s="5" t="str">
        <f t="shared" si="45"/>
        <v/>
      </c>
      <c r="V21" s="5" t="str">
        <f t="shared" si="45"/>
        <v/>
      </c>
      <c r="W21" s="5" t="str">
        <f t="shared" si="45"/>
        <v/>
      </c>
      <c r="X21" s="5" t="str">
        <f t="shared" si="45"/>
        <v/>
      </c>
      <c r="Y21" s="5" t="str">
        <f t="shared" si="45"/>
        <v/>
      </c>
      <c r="Z21" s="5" t="str">
        <f t="shared" si="45"/>
        <v/>
      </c>
      <c r="AA21" s="5" t="str">
        <f t="shared" si="45"/>
        <v/>
      </c>
    </row>
    <row r="22" spans="7:48" x14ac:dyDescent="0.35">
      <c r="K22" s="1"/>
      <c r="L22" t="s">
        <v>65</v>
      </c>
      <c r="N22" s="24">
        <f>IF(LEN(_xlfn.BASE(L17+L18+L19,2))&lt;&gt;1,MID(_xlfn.BASE(L17++L19,2),1,1),0)</f>
        <v>0</v>
      </c>
      <c r="P22" s="4" t="s">
        <v>66</v>
      </c>
      <c r="Q22" s="4"/>
      <c r="R22" s="24">
        <f>IF(MOD(SUM(T20:AA20),2)=0,1,0)</f>
        <v>0</v>
      </c>
      <c r="T22" s="4" t="s">
        <v>67</v>
      </c>
      <c r="U22" s="4"/>
      <c r="V22" s="24" t="str">
        <f>W17</f>
        <v>1</v>
      </c>
    </row>
    <row r="23" spans="7:48" x14ac:dyDescent="0.35">
      <c r="L23" s="4" t="s">
        <v>68</v>
      </c>
      <c r="M23" s="4"/>
      <c r="N23" s="24">
        <f>IF(SUM(L20:AA20)=0,1,0)</f>
        <v>0</v>
      </c>
      <c r="P23" s="4" t="s">
        <v>69</v>
      </c>
      <c r="Q23" s="4"/>
      <c r="R23" s="24">
        <f>L20</f>
        <v>0</v>
      </c>
      <c r="T23" s="26" t="s">
        <v>70</v>
      </c>
      <c r="U23" s="6"/>
      <c r="V23">
        <f>IF(AND(L18=L19,L20&lt;&gt;L19),1,0)</f>
        <v>0</v>
      </c>
    </row>
    <row r="25" spans="7:48" x14ac:dyDescent="0.35">
      <c r="K25" s="4" t="s">
        <v>61</v>
      </c>
      <c r="L25" s="23" t="str">
        <f t="shared" ref="L25:O25" si="46">IF(LEN(_xlfn.BASE(M27+M26+M25,2))&lt;&gt;1,MID(_xlfn.BASE(M27+M26+M25,2),1,1),0)</f>
        <v>1</v>
      </c>
      <c r="M25" s="25" t="str">
        <f t="shared" si="46"/>
        <v>1</v>
      </c>
      <c r="N25" s="23" t="str">
        <f t="shared" si="46"/>
        <v>1</v>
      </c>
      <c r="O25" s="22" t="str">
        <f t="shared" si="46"/>
        <v>1</v>
      </c>
      <c r="P25" s="23" t="str">
        <f>IF(LEN(_xlfn.BASE(Q27+Q26+Q25,2))&lt;&gt;1,MID(_xlfn.BASE(Q27+Q26+Q25,2),1,1),0)</f>
        <v>1</v>
      </c>
      <c r="Q25" s="23">
        <f t="shared" ref="Q25:AA25" si="47">IF(LEN(_xlfn.BASE(R27+R26+R25,2))&lt;&gt;1,MID(_xlfn.BASE(R27+R26+R25,2),1,1),0)</f>
        <v>0</v>
      </c>
      <c r="R25" s="23">
        <f t="shared" si="47"/>
        <v>0</v>
      </c>
      <c r="S25" s="22" t="str">
        <f t="shared" si="47"/>
        <v>1</v>
      </c>
      <c r="T25" s="23" t="str">
        <f t="shared" si="47"/>
        <v>1</v>
      </c>
      <c r="U25" s="23" t="str">
        <f t="shared" si="47"/>
        <v>1</v>
      </c>
      <c r="V25" s="23">
        <f t="shared" si="47"/>
        <v>0</v>
      </c>
      <c r="W25" s="22" t="str">
        <f t="shared" si="47"/>
        <v>1</v>
      </c>
      <c r="X25" s="23">
        <f t="shared" si="47"/>
        <v>0</v>
      </c>
      <c r="Y25" s="23">
        <f t="shared" si="47"/>
        <v>0</v>
      </c>
      <c r="Z25" s="23">
        <f t="shared" si="47"/>
        <v>0</v>
      </c>
      <c r="AA25" s="23">
        <f t="shared" si="47"/>
        <v>0</v>
      </c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7:48" ht="14.5" customHeight="1" x14ac:dyDescent="0.35">
      <c r="K26" s="4" t="s">
        <v>28</v>
      </c>
      <c r="L26" s="20">
        <f t="shared" ref="L26:Z26" si="48">L5</f>
        <v>0</v>
      </c>
      <c r="M26" s="17" t="str">
        <f t="shared" si="48"/>
        <v>1</v>
      </c>
      <c r="N26" s="17" t="str">
        <f t="shared" si="48"/>
        <v>1</v>
      </c>
      <c r="O26" s="20" t="str">
        <f t="shared" si="48"/>
        <v>0</v>
      </c>
      <c r="P26" s="17" t="str">
        <f t="shared" si="48"/>
        <v>0</v>
      </c>
      <c r="Q26" s="17" t="str">
        <f t="shared" si="48"/>
        <v>1</v>
      </c>
      <c r="R26" s="17" t="str">
        <f t="shared" si="48"/>
        <v>1</v>
      </c>
      <c r="S26" s="20" t="str">
        <f t="shared" si="48"/>
        <v>0</v>
      </c>
      <c r="T26" s="17" t="str">
        <f t="shared" si="48"/>
        <v>1</v>
      </c>
      <c r="U26" s="17" t="str">
        <f t="shared" si="48"/>
        <v>0</v>
      </c>
      <c r="V26" s="17" t="str">
        <f t="shared" si="48"/>
        <v>1</v>
      </c>
      <c r="W26" s="20" t="str">
        <f t="shared" si="48"/>
        <v>0</v>
      </c>
      <c r="X26" s="17" t="str">
        <f t="shared" si="48"/>
        <v>1</v>
      </c>
      <c r="Y26" s="17" t="str">
        <f t="shared" si="48"/>
        <v>0</v>
      </c>
      <c r="Z26" s="17" t="str">
        <f t="shared" si="48"/>
        <v>0</v>
      </c>
      <c r="AA26" s="17" t="str">
        <f>AA5</f>
        <v>1</v>
      </c>
      <c r="AB26" s="4"/>
      <c r="AC26" s="4"/>
      <c r="AD26" s="27" t="s">
        <v>73</v>
      </c>
      <c r="AE26" s="27"/>
      <c r="AF26" s="28" t="str">
        <f>IF(V31=0,IF(AC28=AD28,IF(N30=0,$BM$3,$BM$5),0),$BM$4)</f>
        <v>При сложении чисел одного знака получено число другого знака ПЕРЕПОЛНЕНИЕ!</v>
      </c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</row>
    <row r="27" spans="7:48" ht="15" thickBot="1" x14ac:dyDescent="0.4">
      <c r="K27" s="3" t="s">
        <v>72</v>
      </c>
      <c r="L27" s="21">
        <f t="shared" ref="L27:Z27" si="49">L6</f>
        <v>0</v>
      </c>
      <c r="M27" s="18" t="str">
        <f t="shared" si="49"/>
        <v>1</v>
      </c>
      <c r="N27" s="18" t="str">
        <f t="shared" si="49"/>
        <v>1</v>
      </c>
      <c r="O27" s="21" t="str">
        <f t="shared" si="49"/>
        <v>1</v>
      </c>
      <c r="P27" s="18" t="str">
        <f t="shared" si="49"/>
        <v>1</v>
      </c>
      <c r="Q27" s="18" t="str">
        <f t="shared" si="49"/>
        <v>1</v>
      </c>
      <c r="R27" s="18" t="str">
        <f t="shared" si="49"/>
        <v>0</v>
      </c>
      <c r="S27" s="21" t="str">
        <f t="shared" si="49"/>
        <v>0</v>
      </c>
      <c r="T27" s="18" t="str">
        <f t="shared" si="49"/>
        <v>0</v>
      </c>
      <c r="U27" s="18" t="str">
        <f t="shared" si="49"/>
        <v>1</v>
      </c>
      <c r="V27" s="18" t="str">
        <f t="shared" si="49"/>
        <v>1</v>
      </c>
      <c r="W27" s="21" t="str">
        <f t="shared" si="49"/>
        <v>0</v>
      </c>
      <c r="X27" s="18" t="str">
        <f t="shared" si="49"/>
        <v>1</v>
      </c>
      <c r="Y27" s="18" t="str">
        <f t="shared" si="49"/>
        <v>0</v>
      </c>
      <c r="Z27" s="18" t="str">
        <f t="shared" si="49"/>
        <v>0</v>
      </c>
      <c r="AA27" s="18" t="str">
        <f>AA6</f>
        <v>0</v>
      </c>
      <c r="AB27" s="4"/>
      <c r="AC27" s="4"/>
      <c r="AD27" s="29" t="s">
        <v>74</v>
      </c>
      <c r="AE27" s="29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</row>
    <row r="28" spans="7:48" x14ac:dyDescent="0.35">
      <c r="L28" s="19">
        <f t="shared" ref="L28:AA28" si="50">IF(LEN(_xlfn.BASE(L27+L26+L25,2))&lt;&gt;1,MID(_xlfn.BASE(L27+L26+L25,2),2,1),L27+L26+L25)+0</f>
        <v>1</v>
      </c>
      <c r="M28" s="5">
        <f t="shared" si="50"/>
        <v>1</v>
      </c>
      <c r="N28" s="5">
        <f t="shared" si="50"/>
        <v>1</v>
      </c>
      <c r="O28" s="19">
        <f t="shared" si="50"/>
        <v>0</v>
      </c>
      <c r="P28" s="5">
        <f t="shared" si="50"/>
        <v>0</v>
      </c>
      <c r="Q28" s="5">
        <f t="shared" si="50"/>
        <v>0</v>
      </c>
      <c r="R28" s="5">
        <f t="shared" si="50"/>
        <v>1</v>
      </c>
      <c r="S28" s="19">
        <f t="shared" si="50"/>
        <v>1</v>
      </c>
      <c r="T28" s="5">
        <f t="shared" si="50"/>
        <v>0</v>
      </c>
      <c r="U28" s="5">
        <f t="shared" si="50"/>
        <v>0</v>
      </c>
      <c r="V28" s="5">
        <f t="shared" si="50"/>
        <v>0</v>
      </c>
      <c r="W28" s="19">
        <f t="shared" si="50"/>
        <v>1</v>
      </c>
      <c r="X28" s="5">
        <f t="shared" si="50"/>
        <v>0</v>
      </c>
      <c r="Y28" s="5">
        <f t="shared" si="50"/>
        <v>0</v>
      </c>
      <c r="Z28" s="5">
        <f t="shared" si="50"/>
        <v>0</v>
      </c>
      <c r="AA28" s="5">
        <f t="shared" si="50"/>
        <v>1</v>
      </c>
      <c r="AB28" s="3" t="s">
        <v>64</v>
      </c>
      <c r="AC28" s="5">
        <f>IF(R31+0=0,BIN2DEC(LEFT(_xlfn.CONCAT(M28:AA28),7))*2^8+BIN2DEC(RIGHT(_xlfn.CONCAT(M28:AA28),8)),0-BIN2DEC(LEFT(_xlfn.CONCAT(M29:AA29),7))*2^8-BIN2DEC(RIGHT(_xlfn.CONCAT(M29:AA29),8)))</f>
        <v>-7407</v>
      </c>
      <c r="AD28" s="27">
        <f>C5+C6</f>
        <v>58129</v>
      </c>
      <c r="AE28" s="27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</row>
    <row r="29" spans="7:48" x14ac:dyDescent="0.35">
      <c r="G29" s="4" t="s">
        <v>55</v>
      </c>
      <c r="H29" s="6" cm="1">
        <f t="array" ref="H29">SEARCH(1,_xlfn.CONCAT(MID(_xlfn.CONCAT(M28:AA28),_xlfn.SEQUENCE(LEN(_xlfn.CONCAT(M28:AA28)),,LEN(_xlfn.CONCAT(M28:AA28)),-1),1)))-1</f>
        <v>0</v>
      </c>
      <c r="J29" s="4" t="s">
        <v>76</v>
      </c>
      <c r="L29" s="5">
        <f>IF(L28+0=1,1,"")</f>
        <v>1</v>
      </c>
      <c r="M29" s="5">
        <f>IF($L28+0=1,IF(M$3&lt;=$H29,M28,1-M28),"")</f>
        <v>0</v>
      </c>
      <c r="N29" s="5">
        <f t="shared" ref="N29:AA29" si="51">IF($L28+0=1,IF(N$3&lt;=$H29,N28,1-N28),"")</f>
        <v>0</v>
      </c>
      <c r="O29" s="5">
        <f t="shared" si="51"/>
        <v>1</v>
      </c>
      <c r="P29" s="5">
        <f t="shared" si="51"/>
        <v>1</v>
      </c>
      <c r="Q29" s="5">
        <f t="shared" si="51"/>
        <v>1</v>
      </c>
      <c r="R29" s="5">
        <f t="shared" si="51"/>
        <v>0</v>
      </c>
      <c r="S29" s="5">
        <f t="shared" si="51"/>
        <v>0</v>
      </c>
      <c r="T29" s="5">
        <f t="shared" si="51"/>
        <v>1</v>
      </c>
      <c r="U29" s="5">
        <f t="shared" si="51"/>
        <v>1</v>
      </c>
      <c r="V29" s="5">
        <f t="shared" si="51"/>
        <v>1</v>
      </c>
      <c r="W29" s="5">
        <f t="shared" si="51"/>
        <v>0</v>
      </c>
      <c r="X29" s="5">
        <f t="shared" si="51"/>
        <v>1</v>
      </c>
      <c r="Y29" s="5">
        <f t="shared" si="51"/>
        <v>1</v>
      </c>
      <c r="Z29" s="5">
        <f t="shared" si="51"/>
        <v>1</v>
      </c>
      <c r="AA29" s="5">
        <f t="shared" si="51"/>
        <v>1</v>
      </c>
      <c r="AB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7:48" x14ac:dyDescent="0.35">
      <c r="L30" s="4" t="s">
        <v>65</v>
      </c>
      <c r="M30" s="4"/>
      <c r="N30" s="24">
        <f>IF(LEN(_xlfn.BASE(L25+L26+L27,2))&lt;&gt;1,MID(_xlfn.BASE(L25++L27,2),1,1),0)</f>
        <v>0</v>
      </c>
      <c r="O30" s="4"/>
      <c r="P30" s="4" t="s">
        <v>66</v>
      </c>
      <c r="Q30" s="4"/>
      <c r="R30" s="24">
        <f>IF(MOD(SUM(T28:AA28),2)=0,1,0)</f>
        <v>1</v>
      </c>
      <c r="S30" s="4"/>
      <c r="T30" s="4" t="s">
        <v>67</v>
      </c>
      <c r="U30" s="4"/>
      <c r="V30" s="24" t="str">
        <f>W25</f>
        <v>1</v>
      </c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7:48" x14ac:dyDescent="0.35">
      <c r="L31" s="4" t="s">
        <v>68</v>
      </c>
      <c r="M31" s="4"/>
      <c r="N31" s="24">
        <f>IF(SUM(L28:AA28)=0,1,0)</f>
        <v>0</v>
      </c>
      <c r="O31" s="4"/>
      <c r="P31" s="4" t="s">
        <v>69</v>
      </c>
      <c r="Q31" s="4"/>
      <c r="R31" s="24">
        <f>L28</f>
        <v>1</v>
      </c>
      <c r="S31" s="4"/>
      <c r="T31" s="26" t="s">
        <v>70</v>
      </c>
      <c r="U31" s="6"/>
      <c r="V31" s="4">
        <f>IF(AND(L26=L27,L28&lt;&gt;L27),1,0)</f>
        <v>1</v>
      </c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3" spans="7:48" x14ac:dyDescent="0.35">
      <c r="J33" s="6"/>
      <c r="K33" s="4" t="s">
        <v>61</v>
      </c>
      <c r="L33" s="23" t="str">
        <f t="shared" ref="L33:O33" si="52">IF(LEN(_xlfn.BASE(M35+M34+M33,2))&lt;&gt;1,MID(_xlfn.BASE(M35+M34+M33,2),1,1),0)</f>
        <v>1</v>
      </c>
      <c r="M33" s="25" t="str">
        <f t="shared" si="52"/>
        <v>1</v>
      </c>
      <c r="N33" s="23">
        <f t="shared" si="52"/>
        <v>0</v>
      </c>
      <c r="O33" s="22" t="str">
        <f t="shared" si="52"/>
        <v>1</v>
      </c>
      <c r="P33" s="23" t="str">
        <f>IF(LEN(_xlfn.BASE(Q35+Q34+Q33,2))&lt;&gt;1,MID(_xlfn.BASE(Q35+Q34+Q33,2),1,1),0)</f>
        <v>1</v>
      </c>
      <c r="Q33" s="23" t="str">
        <f t="shared" ref="Q33:AA33" si="53">IF(LEN(_xlfn.BASE(R35+R34+R33,2))&lt;&gt;1,MID(_xlfn.BASE(R35+R34+R33,2),1,1),0)</f>
        <v>1</v>
      </c>
      <c r="R33" s="23">
        <f t="shared" si="53"/>
        <v>0</v>
      </c>
      <c r="S33" s="22">
        <f t="shared" si="53"/>
        <v>0</v>
      </c>
      <c r="T33" s="23">
        <f t="shared" si="53"/>
        <v>0</v>
      </c>
      <c r="U33" s="23">
        <f t="shared" si="53"/>
        <v>0</v>
      </c>
      <c r="V33" s="23">
        <f t="shared" si="53"/>
        <v>0</v>
      </c>
      <c r="W33" s="22">
        <f t="shared" si="53"/>
        <v>0</v>
      </c>
      <c r="X33" s="23">
        <f t="shared" si="53"/>
        <v>0</v>
      </c>
      <c r="Y33" s="23">
        <f t="shared" si="53"/>
        <v>0</v>
      </c>
      <c r="Z33" s="23" t="str">
        <f t="shared" si="53"/>
        <v>1</v>
      </c>
      <c r="AA33" s="23">
        <f t="shared" si="53"/>
        <v>0</v>
      </c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7:48" x14ac:dyDescent="0.35">
      <c r="K34" s="4" t="s">
        <v>28</v>
      </c>
      <c r="L34" s="20">
        <f t="shared" ref="L34:Z34" si="54">L5</f>
        <v>0</v>
      </c>
      <c r="M34" s="17" t="str">
        <f t="shared" si="54"/>
        <v>1</v>
      </c>
      <c r="N34" s="17" t="str">
        <f t="shared" si="54"/>
        <v>1</v>
      </c>
      <c r="O34" s="20" t="str">
        <f t="shared" si="54"/>
        <v>0</v>
      </c>
      <c r="P34" s="17" t="str">
        <f t="shared" si="54"/>
        <v>0</v>
      </c>
      <c r="Q34" s="17" t="str">
        <f t="shared" si="54"/>
        <v>1</v>
      </c>
      <c r="R34" s="17" t="str">
        <f t="shared" si="54"/>
        <v>1</v>
      </c>
      <c r="S34" s="20" t="str">
        <f t="shared" si="54"/>
        <v>0</v>
      </c>
      <c r="T34" s="17" t="str">
        <f t="shared" si="54"/>
        <v>1</v>
      </c>
      <c r="U34" s="17" t="str">
        <f t="shared" si="54"/>
        <v>0</v>
      </c>
      <c r="V34" s="17" t="str">
        <f t="shared" si="54"/>
        <v>1</v>
      </c>
      <c r="W34" s="20" t="str">
        <f t="shared" si="54"/>
        <v>0</v>
      </c>
      <c r="X34" s="17" t="str">
        <f t="shared" si="54"/>
        <v>1</v>
      </c>
      <c r="Y34" s="17" t="str">
        <f t="shared" si="54"/>
        <v>0</v>
      </c>
      <c r="Z34" s="17" t="str">
        <f t="shared" si="54"/>
        <v>0</v>
      </c>
      <c r="AA34" s="17" t="str">
        <f>AA5</f>
        <v>1</v>
      </c>
      <c r="AB34" s="4"/>
      <c r="AC34" s="4"/>
      <c r="AD34" s="27" t="s">
        <v>73</v>
      </c>
      <c r="AE34" s="27"/>
      <c r="AF34" s="28" t="str">
        <f>IF(V39=0,IF(AC36=AD36,IF(N38=0,$BM$3,$BM$5),0),$BM$4)</f>
        <v>Результат корректный. Перенос из старшего разряда не учитывается</v>
      </c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</row>
    <row r="35" spans="7:48" ht="15" thickBot="1" x14ac:dyDescent="0.4">
      <c r="K35" s="3" t="s">
        <v>77</v>
      </c>
      <c r="L35" s="21">
        <f t="shared" ref="L35:Z35" si="55">L10</f>
        <v>1</v>
      </c>
      <c r="M35" s="18">
        <f t="shared" si="55"/>
        <v>1</v>
      </c>
      <c r="N35" s="18">
        <f t="shared" si="55"/>
        <v>1</v>
      </c>
      <c r="O35" s="21">
        <f t="shared" si="55"/>
        <v>0</v>
      </c>
      <c r="P35" s="18">
        <f t="shared" si="55"/>
        <v>1</v>
      </c>
      <c r="Q35" s="18">
        <f t="shared" si="55"/>
        <v>0</v>
      </c>
      <c r="R35" s="18">
        <f t="shared" si="55"/>
        <v>1</v>
      </c>
      <c r="S35" s="21">
        <f t="shared" si="55"/>
        <v>0</v>
      </c>
      <c r="T35" s="18">
        <f t="shared" si="55"/>
        <v>0</v>
      </c>
      <c r="U35" s="18">
        <f t="shared" si="55"/>
        <v>1</v>
      </c>
      <c r="V35" s="18">
        <f t="shared" si="55"/>
        <v>0</v>
      </c>
      <c r="W35" s="21">
        <f t="shared" si="55"/>
        <v>0</v>
      </c>
      <c r="X35" s="18">
        <f t="shared" si="55"/>
        <v>0</v>
      </c>
      <c r="Y35" s="18">
        <f t="shared" si="55"/>
        <v>0</v>
      </c>
      <c r="Z35" s="18">
        <f t="shared" si="55"/>
        <v>0</v>
      </c>
      <c r="AA35" s="18" t="str">
        <f>AA10</f>
        <v>1</v>
      </c>
      <c r="AB35" s="4"/>
      <c r="AC35" s="4"/>
      <c r="AD35" s="29" t="s">
        <v>78</v>
      </c>
      <c r="AE35" s="29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</row>
    <row r="36" spans="7:48" x14ac:dyDescent="0.35">
      <c r="L36" s="19">
        <f t="shared" ref="L36:AA36" si="56">IF(LEN(_xlfn.BASE(L35+L34+L33,2))&lt;&gt;1,MID(_xlfn.BASE(L35+L34+L33,2),2,1),L35+L34+L33)+0</f>
        <v>0</v>
      </c>
      <c r="M36" s="5">
        <f t="shared" si="56"/>
        <v>1</v>
      </c>
      <c r="N36" s="5">
        <f t="shared" si="56"/>
        <v>0</v>
      </c>
      <c r="O36" s="19">
        <f t="shared" si="56"/>
        <v>1</v>
      </c>
      <c r="P36" s="5">
        <f t="shared" si="56"/>
        <v>0</v>
      </c>
      <c r="Q36" s="5">
        <f t="shared" si="56"/>
        <v>0</v>
      </c>
      <c r="R36" s="5">
        <f t="shared" si="56"/>
        <v>0</v>
      </c>
      <c r="S36" s="19">
        <f t="shared" si="56"/>
        <v>0</v>
      </c>
      <c r="T36" s="5">
        <f t="shared" si="56"/>
        <v>1</v>
      </c>
      <c r="U36" s="5">
        <f t="shared" si="56"/>
        <v>1</v>
      </c>
      <c r="V36" s="5">
        <f t="shared" si="56"/>
        <v>1</v>
      </c>
      <c r="W36" s="19">
        <f t="shared" si="56"/>
        <v>0</v>
      </c>
      <c r="X36" s="5">
        <f t="shared" si="56"/>
        <v>1</v>
      </c>
      <c r="Y36" s="5">
        <f t="shared" si="56"/>
        <v>0</v>
      </c>
      <c r="Z36" s="5">
        <f t="shared" si="56"/>
        <v>1</v>
      </c>
      <c r="AA36" s="5">
        <f t="shared" si="56"/>
        <v>0</v>
      </c>
      <c r="AB36" s="3" t="s">
        <v>64</v>
      </c>
      <c r="AC36" s="5">
        <f>IF(R39+0=0,BIN2DEC(LEFT(_xlfn.CONCAT(M36:AA36),7))*2^8+BIN2DEC(RIGHT(_xlfn.CONCAT(M36:AA36),8)),0-BIN2DEC(LEFT(_xlfn.CONCAT(M37:AA37),7))*2^8-BIN2DEC(RIGHT(_xlfn.CONCAT(M37:AA37),8)))</f>
        <v>20714</v>
      </c>
      <c r="AD36" s="27">
        <f>C5+C10</f>
        <v>20714</v>
      </c>
      <c r="AE36" s="27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</row>
    <row r="37" spans="7:48" x14ac:dyDescent="0.35">
      <c r="G37" s="4" t="s">
        <v>55</v>
      </c>
      <c r="H37" s="6" cm="1">
        <f t="array" ref="H37">SEARCH(1,_xlfn.CONCAT(MID(_xlfn.CONCAT(M36:AA36),_xlfn.SEQUENCE(LEN(_xlfn.CONCAT(M36:AA36)),,LEN(_xlfn.CONCAT(M36:AA36)),-1),1)))-1</f>
        <v>1</v>
      </c>
      <c r="J37" s="4" t="s">
        <v>76</v>
      </c>
      <c r="L37" s="5" t="str">
        <f>IF(L36+0=1,1,"")</f>
        <v/>
      </c>
      <c r="M37" s="5" t="str">
        <f>IF($L36+0=1,IF(M$3&lt;=$H37,M36,1-M36),"")</f>
        <v/>
      </c>
      <c r="N37" s="5" t="str">
        <f t="shared" ref="N37:AA37" si="57">IF($L36+0=1,IF(N$3&lt;=$H37,N36,1-N36),"")</f>
        <v/>
      </c>
      <c r="O37" s="5" t="str">
        <f t="shared" si="57"/>
        <v/>
      </c>
      <c r="P37" s="5" t="str">
        <f t="shared" si="57"/>
        <v/>
      </c>
      <c r="Q37" s="5" t="str">
        <f t="shared" si="57"/>
        <v/>
      </c>
      <c r="R37" s="5" t="str">
        <f t="shared" si="57"/>
        <v/>
      </c>
      <c r="S37" s="5" t="str">
        <f t="shared" si="57"/>
        <v/>
      </c>
      <c r="T37" s="5" t="str">
        <f t="shared" si="57"/>
        <v/>
      </c>
      <c r="U37" s="5" t="str">
        <f t="shared" si="57"/>
        <v/>
      </c>
      <c r="V37" s="5" t="str">
        <f t="shared" si="57"/>
        <v/>
      </c>
      <c r="W37" s="5" t="str">
        <f t="shared" si="57"/>
        <v/>
      </c>
      <c r="X37" s="5" t="str">
        <f t="shared" si="57"/>
        <v/>
      </c>
      <c r="Y37" s="5" t="str">
        <f t="shared" si="57"/>
        <v/>
      </c>
      <c r="Z37" s="5" t="str">
        <f t="shared" si="57"/>
        <v/>
      </c>
      <c r="AA37" s="5" t="str">
        <f t="shared" si="57"/>
        <v/>
      </c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7:48" x14ac:dyDescent="0.35">
      <c r="L38" s="4" t="s">
        <v>65</v>
      </c>
      <c r="M38" s="4"/>
      <c r="N38" s="24" t="str">
        <f>IF(LEN(_xlfn.BASE(L33+L34+L35,2))&lt;&gt;1,MID(_xlfn.BASE(L33++L35,2),1,1),0)</f>
        <v>1</v>
      </c>
      <c r="O38" s="4"/>
      <c r="P38" s="4" t="s">
        <v>66</v>
      </c>
      <c r="Q38" s="4"/>
      <c r="R38" s="24">
        <f>IF(MOD(SUM(T36:AA36),2)=0,1,0)</f>
        <v>0</v>
      </c>
      <c r="S38" s="4"/>
      <c r="T38" s="4" t="s">
        <v>67</v>
      </c>
      <c r="U38" s="4"/>
      <c r="V38" s="24">
        <f>W33</f>
        <v>0</v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7:48" x14ac:dyDescent="0.35">
      <c r="L39" s="4" t="s">
        <v>68</v>
      </c>
      <c r="M39" s="4"/>
      <c r="N39" s="24">
        <f>IF(SUM(L36:AA36)=0,1,0)</f>
        <v>0</v>
      </c>
      <c r="O39" s="4"/>
      <c r="P39" s="4" t="s">
        <v>69</v>
      </c>
      <c r="Q39" s="4"/>
      <c r="R39" s="24">
        <f>L36</f>
        <v>0</v>
      </c>
      <c r="S39" s="4"/>
      <c r="T39" s="26" t="s">
        <v>70</v>
      </c>
      <c r="U39" s="6"/>
      <c r="V39" s="4">
        <f>IF(AND(L34=L35,L36&lt;&gt;L35),1,0)</f>
        <v>0</v>
      </c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</row>
    <row r="41" spans="7:48" x14ac:dyDescent="0.35">
      <c r="J41" s="6"/>
      <c r="K41" s="4" t="s">
        <v>61</v>
      </c>
      <c r="L41" s="23" t="str">
        <f t="shared" ref="L41:O41" si="58">IF(LEN(_xlfn.BASE(M43+M42+M41,2))&lt;&gt;1,MID(_xlfn.BASE(M43+M42+M41,2),1,1),0)</f>
        <v>1</v>
      </c>
      <c r="M41" s="25" t="str">
        <f t="shared" si="58"/>
        <v>1</v>
      </c>
      <c r="N41" s="23" t="str">
        <f t="shared" si="58"/>
        <v>1</v>
      </c>
      <c r="O41" s="22" t="str">
        <f t="shared" si="58"/>
        <v>1</v>
      </c>
      <c r="P41" s="23">
        <f>IF(LEN(_xlfn.BASE(Q43+Q42+Q41,2))&lt;&gt;1,MID(_xlfn.BASE(Q43+Q42+Q41,2),1,1),0)</f>
        <v>0</v>
      </c>
      <c r="Q41" s="23">
        <f t="shared" ref="Q41:AA41" si="59">IF(LEN(_xlfn.BASE(R43+R42+R41,2))&lt;&gt;1,MID(_xlfn.BASE(R43+R42+R41,2),1,1),0)</f>
        <v>0</v>
      </c>
      <c r="R41" s="23">
        <f t="shared" si="59"/>
        <v>0</v>
      </c>
      <c r="S41" s="22">
        <f t="shared" si="59"/>
        <v>0</v>
      </c>
      <c r="T41" s="23" t="str">
        <f t="shared" si="59"/>
        <v>1</v>
      </c>
      <c r="U41" s="23">
        <f t="shared" si="59"/>
        <v>0</v>
      </c>
      <c r="V41" s="23">
        <f t="shared" si="59"/>
        <v>0</v>
      </c>
      <c r="W41" s="22">
        <f t="shared" si="59"/>
        <v>0</v>
      </c>
      <c r="X41" s="23" t="str">
        <f t="shared" si="59"/>
        <v>1</v>
      </c>
      <c r="Y41" s="23" t="str">
        <f t="shared" si="59"/>
        <v>1</v>
      </c>
      <c r="Z41" s="23" t="str">
        <f t="shared" si="59"/>
        <v>1</v>
      </c>
      <c r="AA41" s="23">
        <f t="shared" si="59"/>
        <v>0</v>
      </c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</row>
    <row r="42" spans="7:48" x14ac:dyDescent="0.35">
      <c r="K42" s="4" t="s">
        <v>29</v>
      </c>
      <c r="L42" s="17">
        <f t="shared" ref="L42:Z42" si="60">L10</f>
        <v>1</v>
      </c>
      <c r="M42" s="17">
        <f t="shared" si="60"/>
        <v>1</v>
      </c>
      <c r="N42" s="17">
        <f t="shared" si="60"/>
        <v>1</v>
      </c>
      <c r="O42" s="17">
        <f t="shared" si="60"/>
        <v>0</v>
      </c>
      <c r="P42" s="17">
        <f t="shared" si="60"/>
        <v>1</v>
      </c>
      <c r="Q42" s="17">
        <f t="shared" si="60"/>
        <v>0</v>
      </c>
      <c r="R42" s="17">
        <f t="shared" si="60"/>
        <v>1</v>
      </c>
      <c r="S42" s="17">
        <f t="shared" si="60"/>
        <v>0</v>
      </c>
      <c r="T42" s="17">
        <f t="shared" si="60"/>
        <v>0</v>
      </c>
      <c r="U42" s="17">
        <f t="shared" si="60"/>
        <v>1</v>
      </c>
      <c r="V42" s="17">
        <f t="shared" si="60"/>
        <v>0</v>
      </c>
      <c r="W42" s="17">
        <f t="shared" si="60"/>
        <v>0</v>
      </c>
      <c r="X42" s="17">
        <f t="shared" si="60"/>
        <v>0</v>
      </c>
      <c r="Y42" s="17">
        <f t="shared" si="60"/>
        <v>0</v>
      </c>
      <c r="Z42" s="17">
        <f t="shared" si="60"/>
        <v>0</v>
      </c>
      <c r="AA42" s="17" t="str">
        <f>AA10</f>
        <v>1</v>
      </c>
      <c r="AB42" s="4"/>
      <c r="AC42" s="4"/>
      <c r="AD42" s="27" t="s">
        <v>81</v>
      </c>
      <c r="AE42" s="27"/>
      <c r="AF42" s="28" t="str">
        <f>IF(V47=0,IF(AC44=AD44,IF(N46=0,$BM$3,$BM$5),0),$BM$4)</f>
        <v>Результат корректный. Перенос из старшего разряда не учитывается</v>
      </c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</row>
    <row r="43" spans="7:48" ht="15" thickBot="1" x14ac:dyDescent="0.4">
      <c r="K43" s="3" t="s">
        <v>80</v>
      </c>
      <c r="L43" s="18">
        <f t="shared" ref="L43:Z43" si="61">L11</f>
        <v>1</v>
      </c>
      <c r="M43" s="18">
        <f t="shared" si="61"/>
        <v>0</v>
      </c>
      <c r="N43" s="18">
        <f t="shared" si="61"/>
        <v>0</v>
      </c>
      <c r="O43" s="18">
        <f t="shared" si="61"/>
        <v>1</v>
      </c>
      <c r="P43" s="18">
        <f t="shared" si="61"/>
        <v>1</v>
      </c>
      <c r="Q43" s="18">
        <f t="shared" si="61"/>
        <v>0</v>
      </c>
      <c r="R43" s="18">
        <f t="shared" si="61"/>
        <v>0</v>
      </c>
      <c r="S43" s="18">
        <f t="shared" si="61"/>
        <v>1</v>
      </c>
      <c r="T43" s="18">
        <f t="shared" si="61"/>
        <v>0</v>
      </c>
      <c r="U43" s="18">
        <f t="shared" si="61"/>
        <v>1</v>
      </c>
      <c r="V43" s="18">
        <f t="shared" si="61"/>
        <v>0</v>
      </c>
      <c r="W43" s="18">
        <f t="shared" si="61"/>
        <v>1</v>
      </c>
      <c r="X43" s="18">
        <f t="shared" si="61"/>
        <v>0</v>
      </c>
      <c r="Y43" s="18">
        <f t="shared" si="61"/>
        <v>1</v>
      </c>
      <c r="Z43" s="18">
        <f t="shared" si="61"/>
        <v>1</v>
      </c>
      <c r="AA43" s="18" t="str">
        <f>AA11</f>
        <v>1</v>
      </c>
      <c r="AB43" s="4"/>
      <c r="AC43" s="4"/>
      <c r="AD43" s="29" t="s">
        <v>82</v>
      </c>
      <c r="AE43" s="29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</row>
    <row r="44" spans="7:48" x14ac:dyDescent="0.35">
      <c r="L44" s="19">
        <f t="shared" ref="L44:AA44" si="62">IF(LEN(_xlfn.BASE(L43+L42+L41,2))&lt;&gt;1,MID(_xlfn.BASE(L43+L42+L41,2),2,1),L43+L42+L41)+0</f>
        <v>1</v>
      </c>
      <c r="M44" s="5">
        <f t="shared" si="62"/>
        <v>0</v>
      </c>
      <c r="N44" s="5">
        <f t="shared" si="62"/>
        <v>0</v>
      </c>
      <c r="O44" s="19">
        <f t="shared" si="62"/>
        <v>0</v>
      </c>
      <c r="P44" s="5">
        <f t="shared" si="62"/>
        <v>0</v>
      </c>
      <c r="Q44" s="5">
        <f t="shared" si="62"/>
        <v>0</v>
      </c>
      <c r="R44" s="5">
        <f t="shared" si="62"/>
        <v>1</v>
      </c>
      <c r="S44" s="19">
        <f t="shared" si="62"/>
        <v>1</v>
      </c>
      <c r="T44" s="5">
        <f t="shared" si="62"/>
        <v>1</v>
      </c>
      <c r="U44" s="5">
        <f t="shared" si="62"/>
        <v>0</v>
      </c>
      <c r="V44" s="5">
        <f t="shared" si="62"/>
        <v>0</v>
      </c>
      <c r="W44" s="19">
        <f t="shared" si="62"/>
        <v>1</v>
      </c>
      <c r="X44" s="5">
        <f t="shared" si="62"/>
        <v>1</v>
      </c>
      <c r="Y44" s="5">
        <f t="shared" si="62"/>
        <v>0</v>
      </c>
      <c r="Z44" s="5">
        <f t="shared" si="62"/>
        <v>0</v>
      </c>
      <c r="AA44" s="5">
        <f t="shared" si="62"/>
        <v>0</v>
      </c>
      <c r="AB44" s="3" t="s">
        <v>64</v>
      </c>
      <c r="AC44" s="5">
        <f>IF(R47+0=0,BIN2DEC(LEFT(_xlfn.CONCAT(M44:AA44),7))*2^8+BIN2DEC(RIGHT(_xlfn.CONCAT(M44:AA44),8)),0-BIN2DEC(LEFT(_xlfn.CONCAT(M45:AA45),7))*2^8-BIN2DEC(RIGHT(_xlfn.CONCAT(M45:AA45),8)))</f>
        <v>-31848</v>
      </c>
      <c r="AD44" s="27">
        <f>C10+C11</f>
        <v>-31848</v>
      </c>
      <c r="AE44" s="27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</row>
    <row r="45" spans="7:48" x14ac:dyDescent="0.35">
      <c r="G45" s="4" t="s">
        <v>55</v>
      </c>
      <c r="H45" s="6" cm="1">
        <f t="array" ref="H45">SEARCH(1,_xlfn.CONCAT(MID(_xlfn.CONCAT(M44:AA44),_xlfn.SEQUENCE(LEN(_xlfn.CONCAT(M44:AA44)),,LEN(_xlfn.CONCAT(M44:AA44)),-1),1)))-1</f>
        <v>3</v>
      </c>
      <c r="J45" s="4" t="s">
        <v>76</v>
      </c>
      <c r="L45" s="5">
        <f>IF(L44+0=1,1,"")</f>
        <v>1</v>
      </c>
      <c r="M45" s="5">
        <f>IF($L44+0=1,IF(M$3&lt;=$H45,M44,1-M44),"")</f>
        <v>1</v>
      </c>
      <c r="N45" s="5">
        <f t="shared" ref="N45:AA45" si="63">IF($L44+0=1,IF(N$3&lt;=$H45,N44,1-N44),"")</f>
        <v>1</v>
      </c>
      <c r="O45" s="5">
        <f t="shared" si="63"/>
        <v>1</v>
      </c>
      <c r="P45" s="5">
        <f t="shared" si="63"/>
        <v>1</v>
      </c>
      <c r="Q45" s="5">
        <f t="shared" si="63"/>
        <v>1</v>
      </c>
      <c r="R45" s="5">
        <f t="shared" si="63"/>
        <v>0</v>
      </c>
      <c r="S45" s="5">
        <f t="shared" si="63"/>
        <v>0</v>
      </c>
      <c r="T45" s="5">
        <f t="shared" si="63"/>
        <v>0</v>
      </c>
      <c r="U45" s="5">
        <f t="shared" si="63"/>
        <v>1</v>
      </c>
      <c r="V45" s="5">
        <f t="shared" si="63"/>
        <v>1</v>
      </c>
      <c r="W45" s="5">
        <f t="shared" si="63"/>
        <v>0</v>
      </c>
      <c r="X45" s="5">
        <f t="shared" si="63"/>
        <v>1</v>
      </c>
      <c r="Y45" s="5">
        <f t="shared" si="63"/>
        <v>0</v>
      </c>
      <c r="Z45" s="5">
        <f t="shared" si="63"/>
        <v>0</v>
      </c>
      <c r="AA45" s="5">
        <f t="shared" si="63"/>
        <v>0</v>
      </c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7:48" x14ac:dyDescent="0.35">
      <c r="L46" s="4" t="s">
        <v>65</v>
      </c>
      <c r="M46" s="4"/>
      <c r="N46" s="24" t="str">
        <f>IF(LEN(_xlfn.BASE(L41+L42+L43,2))&lt;&gt;1,MID(_xlfn.BASE(L41++L43,2),1,1),0)</f>
        <v>1</v>
      </c>
      <c r="O46" s="4"/>
      <c r="P46" s="4" t="s">
        <v>66</v>
      </c>
      <c r="Q46" s="4"/>
      <c r="R46" s="24">
        <f>IF(MOD(SUM(T44:AA44),2)=0,1,0)</f>
        <v>0</v>
      </c>
      <c r="S46" s="4"/>
      <c r="T46" s="4" t="s">
        <v>67</v>
      </c>
      <c r="U46" s="4"/>
      <c r="V46" s="24">
        <f>W41</f>
        <v>0</v>
      </c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7:48" x14ac:dyDescent="0.35">
      <c r="L47" s="4" t="s">
        <v>68</v>
      </c>
      <c r="M47" s="4"/>
      <c r="N47" s="24">
        <f>IF(SUM(L44:AA44)=0,1,0)</f>
        <v>0</v>
      </c>
      <c r="O47" s="4"/>
      <c r="P47" s="4" t="s">
        <v>69</v>
      </c>
      <c r="Q47" s="4"/>
      <c r="R47" s="24">
        <f>L44</f>
        <v>1</v>
      </c>
      <c r="S47" s="4"/>
      <c r="T47" s="26" t="s">
        <v>70</v>
      </c>
      <c r="U47" s="6"/>
      <c r="V47" s="4">
        <f>IF(AND(L42=L43,L44&lt;&gt;L43),1,0)</f>
        <v>0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9" spans="7:48" x14ac:dyDescent="0.35">
      <c r="J49" s="6"/>
      <c r="K49" s="4" t="s">
        <v>61</v>
      </c>
      <c r="L49" s="23">
        <f t="shared" ref="L49:O49" si="64">IF(LEN(_xlfn.BASE(M51+M50+M49,2))&lt;&gt;1,MID(_xlfn.BASE(M51+M50+M49,2),1,1),0)</f>
        <v>0</v>
      </c>
      <c r="M49" s="25">
        <f t="shared" si="64"/>
        <v>0</v>
      </c>
      <c r="N49" s="23">
        <f t="shared" si="64"/>
        <v>0</v>
      </c>
      <c r="O49" s="22">
        <f t="shared" si="64"/>
        <v>0</v>
      </c>
      <c r="P49" s="23">
        <f>IF(LEN(_xlfn.BASE(Q51+Q50+Q49,2))&lt;&gt;1,MID(_xlfn.BASE(Q51+Q50+Q49,2),1,1),0)</f>
        <v>0</v>
      </c>
      <c r="Q49" s="23" t="str">
        <f t="shared" ref="Q49:AA49" si="65">IF(LEN(_xlfn.BASE(R51+R50+R49,2))&lt;&gt;1,MID(_xlfn.BASE(R51+R50+R49,2),1,1),0)</f>
        <v>1</v>
      </c>
      <c r="R49" s="23" t="str">
        <f t="shared" si="65"/>
        <v>1</v>
      </c>
      <c r="S49" s="22">
        <f t="shared" si="65"/>
        <v>0</v>
      </c>
      <c r="T49" s="23">
        <f t="shared" si="65"/>
        <v>0</v>
      </c>
      <c r="U49" s="23">
        <f t="shared" si="65"/>
        <v>0</v>
      </c>
      <c r="V49" s="23" t="str">
        <f t="shared" si="65"/>
        <v>1</v>
      </c>
      <c r="W49" s="22">
        <f t="shared" si="65"/>
        <v>0</v>
      </c>
      <c r="X49" s="23">
        <f t="shared" si="65"/>
        <v>0</v>
      </c>
      <c r="Y49" s="23">
        <f t="shared" si="65"/>
        <v>0</v>
      </c>
      <c r="Z49" s="23">
        <f t="shared" si="65"/>
        <v>0</v>
      </c>
      <c r="AA49" s="23">
        <f t="shared" si="65"/>
        <v>0</v>
      </c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7:48" x14ac:dyDescent="0.35">
      <c r="K50" s="4" t="s">
        <v>30</v>
      </c>
      <c r="L50" s="17">
        <f t="shared" ref="L50:Z50" si="66">L11</f>
        <v>1</v>
      </c>
      <c r="M50" s="17">
        <f t="shared" si="66"/>
        <v>0</v>
      </c>
      <c r="N50" s="17">
        <f t="shared" si="66"/>
        <v>0</v>
      </c>
      <c r="O50" s="17">
        <f t="shared" si="66"/>
        <v>1</v>
      </c>
      <c r="P50" s="17">
        <f t="shared" si="66"/>
        <v>1</v>
      </c>
      <c r="Q50" s="17">
        <f t="shared" si="66"/>
        <v>0</v>
      </c>
      <c r="R50" s="17">
        <f t="shared" si="66"/>
        <v>0</v>
      </c>
      <c r="S50" s="17">
        <f t="shared" si="66"/>
        <v>1</v>
      </c>
      <c r="T50" s="17">
        <f t="shared" si="66"/>
        <v>0</v>
      </c>
      <c r="U50" s="17">
        <f t="shared" si="66"/>
        <v>1</v>
      </c>
      <c r="V50" s="17">
        <f t="shared" si="66"/>
        <v>0</v>
      </c>
      <c r="W50" s="17">
        <f t="shared" si="66"/>
        <v>1</v>
      </c>
      <c r="X50" s="17">
        <f t="shared" si="66"/>
        <v>0</v>
      </c>
      <c r="Y50" s="17">
        <f t="shared" si="66"/>
        <v>1</v>
      </c>
      <c r="Z50" s="17">
        <f t="shared" si="66"/>
        <v>1</v>
      </c>
      <c r="AA50" s="17" t="str">
        <f>AA11</f>
        <v>1</v>
      </c>
      <c r="AB50" s="4"/>
      <c r="AC50" s="4"/>
      <c r="AD50" s="27" t="s">
        <v>84</v>
      </c>
      <c r="AE50" s="27"/>
      <c r="AF50" s="28" t="str">
        <f>IF(V55=0,IF(AC52=AD52,IF(N54=0,$BM$3,$BM$5),0),$BM$4)</f>
        <v>При сложении чисел одного знака получено число другого знака ПЕРЕПОЛНЕНИЕ!</v>
      </c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</row>
    <row r="51" spans="7:48" ht="15" thickBot="1" x14ac:dyDescent="0.4">
      <c r="K51" s="3" t="s">
        <v>83</v>
      </c>
      <c r="L51" s="18">
        <f t="shared" ref="L51:Z51" si="67">L12</f>
        <v>1</v>
      </c>
      <c r="M51" s="18">
        <f t="shared" si="67"/>
        <v>0</v>
      </c>
      <c r="N51" s="18">
        <f t="shared" si="67"/>
        <v>0</v>
      </c>
      <c r="O51" s="18">
        <f t="shared" si="67"/>
        <v>0</v>
      </c>
      <c r="P51" s="18">
        <f t="shared" si="67"/>
        <v>0</v>
      </c>
      <c r="Q51" s="18">
        <f t="shared" si="67"/>
        <v>0</v>
      </c>
      <c r="R51" s="18">
        <f t="shared" si="67"/>
        <v>1</v>
      </c>
      <c r="S51" s="18">
        <f t="shared" si="67"/>
        <v>1</v>
      </c>
      <c r="T51" s="18">
        <f t="shared" si="67"/>
        <v>1</v>
      </c>
      <c r="U51" s="18">
        <f t="shared" si="67"/>
        <v>0</v>
      </c>
      <c r="V51" s="18">
        <f t="shared" si="67"/>
        <v>0</v>
      </c>
      <c r="W51" s="18">
        <f t="shared" si="67"/>
        <v>1</v>
      </c>
      <c r="X51" s="18" t="str">
        <f t="shared" si="67"/>
        <v>1</v>
      </c>
      <c r="Y51" s="18" t="str">
        <f t="shared" si="67"/>
        <v>0</v>
      </c>
      <c r="Z51" s="18" t="str">
        <f t="shared" si="67"/>
        <v>0</v>
      </c>
      <c r="AA51" s="18" t="str">
        <f>AA12</f>
        <v>0</v>
      </c>
      <c r="AB51" s="4"/>
      <c r="AC51" s="4"/>
      <c r="AD51" s="29" t="s">
        <v>85</v>
      </c>
      <c r="AE51" s="29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</row>
    <row r="52" spans="7:48" x14ac:dyDescent="0.35">
      <c r="L52" s="19">
        <f t="shared" ref="L52:AA52" si="68">IF(LEN(_xlfn.BASE(L51+L50+L49,2))&lt;&gt;1,MID(_xlfn.BASE(L51+L50+L49,2),2,1),L51+L50+L49)+0</f>
        <v>0</v>
      </c>
      <c r="M52" s="5">
        <f t="shared" si="68"/>
        <v>0</v>
      </c>
      <c r="N52" s="5">
        <f t="shared" si="68"/>
        <v>0</v>
      </c>
      <c r="O52" s="19">
        <f t="shared" si="68"/>
        <v>1</v>
      </c>
      <c r="P52" s="5">
        <f t="shared" si="68"/>
        <v>1</v>
      </c>
      <c r="Q52" s="5">
        <f t="shared" si="68"/>
        <v>1</v>
      </c>
      <c r="R52" s="5">
        <f t="shared" si="68"/>
        <v>0</v>
      </c>
      <c r="S52" s="19">
        <f t="shared" si="68"/>
        <v>0</v>
      </c>
      <c r="T52" s="5">
        <f t="shared" si="68"/>
        <v>1</v>
      </c>
      <c r="U52" s="5">
        <f t="shared" si="68"/>
        <v>1</v>
      </c>
      <c r="V52" s="5">
        <f t="shared" si="68"/>
        <v>1</v>
      </c>
      <c r="W52" s="19">
        <f t="shared" si="68"/>
        <v>0</v>
      </c>
      <c r="X52" s="5">
        <f t="shared" si="68"/>
        <v>1</v>
      </c>
      <c r="Y52" s="5">
        <f t="shared" si="68"/>
        <v>1</v>
      </c>
      <c r="Z52" s="5">
        <f t="shared" si="68"/>
        <v>1</v>
      </c>
      <c r="AA52" s="5">
        <f t="shared" si="68"/>
        <v>1</v>
      </c>
      <c r="AB52" s="3" t="s">
        <v>64</v>
      </c>
      <c r="AC52" s="5">
        <f>IF(R55+0=0,BIN2DEC(LEFT(_xlfn.CONCAT(M52:AA52),7))*2^8+BIN2DEC(RIGHT(_xlfn.CONCAT(M52:AA52),8)),0-BIN2DEC(LEFT(_xlfn.CONCAT(M53:AA53),7))*2^8-BIN2DEC(RIGHT(_xlfn.CONCAT(M53:AA53),8)))</f>
        <v>7407</v>
      </c>
      <c r="AD52" s="27">
        <f>C11+C12</f>
        <v>-58129</v>
      </c>
      <c r="AE52" s="27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</row>
    <row r="53" spans="7:48" x14ac:dyDescent="0.35">
      <c r="G53" s="4" t="s">
        <v>55</v>
      </c>
      <c r="H53" s="6" cm="1">
        <f t="array" ref="H53">SEARCH(1,_xlfn.CONCAT(MID(_xlfn.CONCAT(M52:AA52),_xlfn.SEQUENCE(LEN(_xlfn.CONCAT(M52:AA52)),,LEN(_xlfn.CONCAT(M52:AA52)),-1),1)))-1</f>
        <v>0</v>
      </c>
      <c r="J53" s="4" t="s">
        <v>76</v>
      </c>
      <c r="L53" s="5" t="str">
        <f>IF(L52+0=1,1,"")</f>
        <v/>
      </c>
      <c r="M53" s="5" t="str">
        <f>IF($L52+0=1,IF(M$3&lt;=$H53,M52,1-M52),"")</f>
        <v/>
      </c>
      <c r="N53" s="5" t="str">
        <f t="shared" ref="N53" si="69">IF($L52+0=1,IF(N$3&lt;=$H53,N52,1-N52),"")</f>
        <v/>
      </c>
      <c r="O53" s="5" t="str">
        <f t="shared" ref="O53" si="70">IF($L52+0=1,IF(O$3&lt;=$H53,O52,1-O52),"")</f>
        <v/>
      </c>
      <c r="P53" s="5" t="str">
        <f t="shared" ref="P53" si="71">IF($L52+0=1,IF(P$3&lt;=$H53,P52,1-P52),"")</f>
        <v/>
      </c>
      <c r="Q53" s="5" t="str">
        <f t="shared" ref="Q53" si="72">IF($L52+0=1,IF(Q$3&lt;=$H53,Q52,1-Q52),"")</f>
        <v/>
      </c>
      <c r="R53" s="5" t="str">
        <f t="shared" ref="R53" si="73">IF($L52+0=1,IF(R$3&lt;=$H53,R52,1-R52),"")</f>
        <v/>
      </c>
      <c r="S53" s="5" t="str">
        <f t="shared" ref="S53" si="74">IF($L52+0=1,IF(S$3&lt;=$H53,S52,1-S52),"")</f>
        <v/>
      </c>
      <c r="T53" s="5" t="str">
        <f t="shared" ref="T53" si="75">IF($L52+0=1,IF(T$3&lt;=$H53,T52,1-T52),"")</f>
        <v/>
      </c>
      <c r="U53" s="5" t="str">
        <f t="shared" ref="U53" si="76">IF($L52+0=1,IF(U$3&lt;=$H53,U52,1-U52),"")</f>
        <v/>
      </c>
      <c r="V53" s="5" t="str">
        <f t="shared" ref="V53" si="77">IF($L52+0=1,IF(V$3&lt;=$H53,V52,1-V52),"")</f>
        <v/>
      </c>
      <c r="W53" s="5" t="str">
        <f t="shared" ref="W53" si="78">IF($L52+0=1,IF(W$3&lt;=$H53,W52,1-W52),"")</f>
        <v/>
      </c>
      <c r="X53" s="5" t="str">
        <f t="shared" ref="X53" si="79">IF($L52+0=1,IF(X$3&lt;=$H53,X52,1-X52),"")</f>
        <v/>
      </c>
      <c r="Y53" s="5" t="str">
        <f t="shared" ref="Y53" si="80">IF($L52+0=1,IF(Y$3&lt;=$H53,Y52,1-Y52),"")</f>
        <v/>
      </c>
      <c r="Z53" s="5" t="str">
        <f t="shared" ref="Z53" si="81">IF($L52+0=1,IF(Z$3&lt;=$H53,Z52,1-Z52),"")</f>
        <v/>
      </c>
      <c r="AA53" s="5" t="str">
        <f t="shared" ref="AA53" si="82">IF($L52+0=1,IF(AA$3&lt;=$H53,AA52,1-AA52),"")</f>
        <v/>
      </c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7:48" x14ac:dyDescent="0.35">
      <c r="L54" s="4" t="s">
        <v>65</v>
      </c>
      <c r="M54" s="4"/>
      <c r="N54" s="24" t="str">
        <f>IF(LEN(_xlfn.BASE(L49+L50+L51,2))&lt;&gt;1,MID(_xlfn.BASE(L49++L51,2),1,1),0)</f>
        <v>1</v>
      </c>
      <c r="O54" s="4"/>
      <c r="P54" s="4" t="s">
        <v>66</v>
      </c>
      <c r="Q54" s="4"/>
      <c r="R54" s="24">
        <f>IF(MOD(SUM(T52:AA52),2)=0,1,0)</f>
        <v>0</v>
      </c>
      <c r="S54" s="4"/>
      <c r="T54" s="4" t="s">
        <v>67</v>
      </c>
      <c r="U54" s="4"/>
      <c r="V54" s="24">
        <f>W49</f>
        <v>0</v>
      </c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7:48" x14ac:dyDescent="0.35">
      <c r="L55" s="4" t="s">
        <v>68</v>
      </c>
      <c r="M55" s="4"/>
      <c r="N55" s="24">
        <f>IF(SUM(L52:AA52)=0,1,0)</f>
        <v>0</v>
      </c>
      <c r="O55" s="4"/>
      <c r="P55" s="4" t="s">
        <v>69</v>
      </c>
      <c r="Q55" s="4"/>
      <c r="R55" s="24">
        <f>L52</f>
        <v>0</v>
      </c>
      <c r="S55" s="4"/>
      <c r="T55" s="26" t="s">
        <v>70</v>
      </c>
      <c r="U55" s="6"/>
      <c r="V55" s="4">
        <f>IF(AND(L50=L51,L52&lt;&gt;L51),1,0)</f>
        <v>1</v>
      </c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7" spans="7:48" x14ac:dyDescent="0.35">
      <c r="J57" s="6"/>
      <c r="K57" s="4" t="s">
        <v>61</v>
      </c>
      <c r="L57" s="23">
        <f t="shared" ref="L57:O57" si="83">IF(LEN(_xlfn.BASE(M59+M58+M57,2))&lt;&gt;1,MID(_xlfn.BASE(M59+M58+M57,2),1,1),0)</f>
        <v>0</v>
      </c>
      <c r="M57" s="25">
        <f t="shared" si="83"/>
        <v>0</v>
      </c>
      <c r="N57" s="23" t="str">
        <f t="shared" si="83"/>
        <v>1</v>
      </c>
      <c r="O57" s="22">
        <f t="shared" si="83"/>
        <v>0</v>
      </c>
      <c r="P57" s="23">
        <f>IF(LEN(_xlfn.BASE(Q59+Q58+Q57,2))&lt;&gt;1,MID(_xlfn.BASE(Q59+Q58+Q57,2),1,1),0)</f>
        <v>0</v>
      </c>
      <c r="Q57" s="23">
        <f t="shared" ref="Q57:AA57" si="84">IF(LEN(_xlfn.BASE(R59+R58+R57,2))&lt;&gt;1,MID(_xlfn.BASE(R59+R58+R57,2),1,1),0)</f>
        <v>0</v>
      </c>
      <c r="R57" s="23" t="str">
        <f t="shared" si="84"/>
        <v>1</v>
      </c>
      <c r="S57" s="22" t="str">
        <f t="shared" si="84"/>
        <v>1</v>
      </c>
      <c r="T57" s="23" t="str">
        <f t="shared" si="84"/>
        <v>1</v>
      </c>
      <c r="U57" s="23" t="str">
        <f t="shared" si="84"/>
        <v>1</v>
      </c>
      <c r="V57" s="23" t="str">
        <f t="shared" si="84"/>
        <v>1</v>
      </c>
      <c r="W57" s="22" t="str">
        <f t="shared" si="84"/>
        <v>1</v>
      </c>
      <c r="X57" s="23" t="str">
        <f t="shared" si="84"/>
        <v>1</v>
      </c>
      <c r="Y57" s="23" t="str">
        <f t="shared" si="84"/>
        <v>1</v>
      </c>
      <c r="Z57" s="23" t="str">
        <f t="shared" si="84"/>
        <v>1</v>
      </c>
      <c r="AA57" s="23">
        <f t="shared" si="84"/>
        <v>0</v>
      </c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7:48" x14ac:dyDescent="0.35">
      <c r="K58" s="4" t="s">
        <v>27</v>
      </c>
      <c r="L58" s="17">
        <f t="shared" ref="L58:Z58" si="85">L4</f>
        <v>0</v>
      </c>
      <c r="M58" s="17">
        <f t="shared" si="85"/>
        <v>0</v>
      </c>
      <c r="N58" s="17">
        <f t="shared" si="85"/>
        <v>0</v>
      </c>
      <c r="O58" s="17" t="str">
        <f t="shared" si="85"/>
        <v>1</v>
      </c>
      <c r="P58" s="17" t="str">
        <f t="shared" si="85"/>
        <v>0</v>
      </c>
      <c r="Q58" s="17" t="str">
        <f t="shared" si="85"/>
        <v>1</v>
      </c>
      <c r="R58" s="17" t="str">
        <f t="shared" si="85"/>
        <v>0</v>
      </c>
      <c r="S58" s="17" t="str">
        <f t="shared" si="85"/>
        <v>1</v>
      </c>
      <c r="T58" s="17" t="str">
        <f t="shared" si="85"/>
        <v>1</v>
      </c>
      <c r="U58" s="17" t="str">
        <f t="shared" si="85"/>
        <v>0</v>
      </c>
      <c r="V58" s="17" t="str">
        <f t="shared" si="85"/>
        <v>1</v>
      </c>
      <c r="W58" s="17" t="str">
        <f t="shared" si="85"/>
        <v>1</v>
      </c>
      <c r="X58" s="17" t="str">
        <f t="shared" si="85"/>
        <v>1</v>
      </c>
      <c r="Y58" s="17" t="str">
        <f t="shared" si="85"/>
        <v>1</v>
      </c>
      <c r="Z58" s="17" t="str">
        <f t="shared" si="85"/>
        <v>1</v>
      </c>
      <c r="AA58" s="17" t="str">
        <f>AA4</f>
        <v>1</v>
      </c>
      <c r="AB58" s="4"/>
      <c r="AC58" s="4"/>
      <c r="AD58" s="27" t="s">
        <v>62</v>
      </c>
      <c r="AE58" s="27"/>
      <c r="AF58" s="28" t="str">
        <f>IF(V63=0,IF(AC60=AD60,IF(N62=0,$BM$3,$BM$5),0),$BM$4)</f>
        <v>Результат верный</v>
      </c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</row>
    <row r="59" spans="7:48" ht="15" thickBot="1" x14ac:dyDescent="0.4">
      <c r="K59" s="3" t="s">
        <v>80</v>
      </c>
      <c r="L59" s="18">
        <f t="shared" ref="L59:Z59" si="86">L11</f>
        <v>1</v>
      </c>
      <c r="M59" s="18">
        <f t="shared" si="86"/>
        <v>0</v>
      </c>
      <c r="N59" s="18">
        <f t="shared" si="86"/>
        <v>0</v>
      </c>
      <c r="O59" s="18">
        <f t="shared" si="86"/>
        <v>1</v>
      </c>
      <c r="P59" s="18">
        <f t="shared" si="86"/>
        <v>1</v>
      </c>
      <c r="Q59" s="18">
        <f t="shared" si="86"/>
        <v>0</v>
      </c>
      <c r="R59" s="18">
        <f t="shared" si="86"/>
        <v>0</v>
      </c>
      <c r="S59" s="18">
        <f t="shared" si="86"/>
        <v>1</v>
      </c>
      <c r="T59" s="18">
        <f t="shared" si="86"/>
        <v>0</v>
      </c>
      <c r="U59" s="18">
        <f t="shared" si="86"/>
        <v>1</v>
      </c>
      <c r="V59" s="18">
        <f t="shared" si="86"/>
        <v>0</v>
      </c>
      <c r="W59" s="18">
        <f t="shared" si="86"/>
        <v>1</v>
      </c>
      <c r="X59" s="18">
        <f t="shared" si="86"/>
        <v>0</v>
      </c>
      <c r="Y59" s="18">
        <f t="shared" si="86"/>
        <v>1</v>
      </c>
      <c r="Z59" s="18">
        <f t="shared" si="86"/>
        <v>1</v>
      </c>
      <c r="AA59" s="18" t="str">
        <f>AA11</f>
        <v>1</v>
      </c>
      <c r="AB59" s="4"/>
      <c r="AC59" s="4"/>
      <c r="AD59" s="29" t="s">
        <v>82</v>
      </c>
      <c r="AE59" s="29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</row>
    <row r="60" spans="7:48" x14ac:dyDescent="0.35">
      <c r="L60" s="19">
        <f t="shared" ref="L60:AA60" si="87">IF(LEN(_xlfn.BASE(L59+L58+L57,2))&lt;&gt;1,MID(_xlfn.BASE(L59+L58+L57,2),2,1),L59+L58+L57)+0</f>
        <v>1</v>
      </c>
      <c r="M60" s="5">
        <f t="shared" si="87"/>
        <v>0</v>
      </c>
      <c r="N60" s="5">
        <f t="shared" si="87"/>
        <v>1</v>
      </c>
      <c r="O60" s="19">
        <f t="shared" si="87"/>
        <v>0</v>
      </c>
      <c r="P60" s="5">
        <f t="shared" si="87"/>
        <v>1</v>
      </c>
      <c r="Q60" s="5">
        <f t="shared" si="87"/>
        <v>1</v>
      </c>
      <c r="R60" s="5">
        <f t="shared" si="87"/>
        <v>1</v>
      </c>
      <c r="S60" s="19">
        <f t="shared" si="87"/>
        <v>1</v>
      </c>
      <c r="T60" s="5">
        <f t="shared" si="87"/>
        <v>0</v>
      </c>
      <c r="U60" s="5">
        <f t="shared" si="87"/>
        <v>0</v>
      </c>
      <c r="V60" s="5">
        <f t="shared" si="87"/>
        <v>0</v>
      </c>
      <c r="W60" s="19">
        <f t="shared" si="87"/>
        <v>1</v>
      </c>
      <c r="X60" s="5">
        <f t="shared" si="87"/>
        <v>0</v>
      </c>
      <c r="Y60" s="5">
        <f t="shared" si="87"/>
        <v>1</v>
      </c>
      <c r="Z60" s="5">
        <f t="shared" si="87"/>
        <v>1</v>
      </c>
      <c r="AA60" s="5">
        <f t="shared" si="87"/>
        <v>0</v>
      </c>
      <c r="AB60" s="3" t="s">
        <v>64</v>
      </c>
      <c r="AC60" s="5">
        <f>IF(R63+0=0,BIN2DEC(LEFT(_xlfn.CONCAT(M60:AA60),7))*2^8+BIN2DEC(RIGHT(_xlfn.CONCAT(M60:AA60),8)),0-BIN2DEC(LEFT(_xlfn.CONCAT(M61:AA61),7))*2^8-BIN2DEC(RIGHT(_xlfn.CONCAT(M61:AA61),8)))</f>
        <v>-20714</v>
      </c>
      <c r="AD60" s="27">
        <f>C4+C11</f>
        <v>-20714</v>
      </c>
      <c r="AE60" s="27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</row>
    <row r="61" spans="7:48" x14ac:dyDescent="0.35">
      <c r="G61" s="4" t="s">
        <v>55</v>
      </c>
      <c r="H61" s="6" cm="1">
        <f t="array" ref="H61">SEARCH(1,_xlfn.CONCAT(MID(_xlfn.CONCAT(M60:AA60),_xlfn.SEQUENCE(LEN(_xlfn.CONCAT(M60:AA60)),,LEN(_xlfn.CONCAT(M60:AA60)),-1),1)))-1</f>
        <v>1</v>
      </c>
      <c r="J61" s="4" t="s">
        <v>76</v>
      </c>
      <c r="L61" s="5">
        <f>IF(L60+0=1,1,"")</f>
        <v>1</v>
      </c>
      <c r="M61" s="5">
        <f>IF($L60+0=1,IF(M$3&lt;=$H61,M60,1-M60),"")</f>
        <v>1</v>
      </c>
      <c r="N61" s="5">
        <f t="shared" ref="N61" si="88">IF($L60+0=1,IF(N$3&lt;=$H61,N60,1-N60),"")</f>
        <v>0</v>
      </c>
      <c r="O61" s="5">
        <f t="shared" ref="O61" si="89">IF($L60+0=1,IF(O$3&lt;=$H61,O60,1-O60),"")</f>
        <v>1</v>
      </c>
      <c r="P61" s="5">
        <f t="shared" ref="P61" si="90">IF($L60+0=1,IF(P$3&lt;=$H61,P60,1-P60),"")</f>
        <v>0</v>
      </c>
      <c r="Q61" s="5">
        <f t="shared" ref="Q61" si="91">IF($L60+0=1,IF(Q$3&lt;=$H61,Q60,1-Q60),"")</f>
        <v>0</v>
      </c>
      <c r="R61" s="5">
        <f t="shared" ref="R61" si="92">IF($L60+0=1,IF(R$3&lt;=$H61,R60,1-R60),"")</f>
        <v>0</v>
      </c>
      <c r="S61" s="5">
        <f t="shared" ref="S61" si="93">IF($L60+0=1,IF(S$3&lt;=$H61,S60,1-S60),"")</f>
        <v>0</v>
      </c>
      <c r="T61" s="5">
        <f t="shared" ref="T61" si="94">IF($L60+0=1,IF(T$3&lt;=$H61,T60,1-T60),"")</f>
        <v>1</v>
      </c>
      <c r="U61" s="5">
        <f t="shared" ref="U61" si="95">IF($L60+0=1,IF(U$3&lt;=$H61,U60,1-U60),"")</f>
        <v>1</v>
      </c>
      <c r="V61" s="5">
        <f t="shared" ref="V61" si="96">IF($L60+0=1,IF(V$3&lt;=$H61,V60,1-V60),"")</f>
        <v>1</v>
      </c>
      <c r="W61" s="5">
        <f t="shared" ref="W61" si="97">IF($L60+0=1,IF(W$3&lt;=$H61,W60,1-W60),"")</f>
        <v>0</v>
      </c>
      <c r="X61" s="5">
        <f t="shared" ref="X61" si="98">IF($L60+0=1,IF(X$3&lt;=$H61,X60,1-X60),"")</f>
        <v>1</v>
      </c>
      <c r="Y61" s="5">
        <f t="shared" ref="Y61" si="99">IF($L60+0=1,IF(Y$3&lt;=$H61,Y60,1-Y60),"")</f>
        <v>0</v>
      </c>
      <c r="Z61" s="5">
        <f t="shared" ref="Z61" si="100">IF($L60+0=1,IF(Z$3&lt;=$H61,Z60,1-Z60),"")</f>
        <v>1</v>
      </c>
      <c r="AA61" s="5">
        <f t="shared" ref="AA61" si="101">IF($L60+0=1,IF(AA$3&lt;=$H61,AA60,1-AA60),"")</f>
        <v>0</v>
      </c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7:48" x14ac:dyDescent="0.35">
      <c r="L62" s="4" t="s">
        <v>65</v>
      </c>
      <c r="M62" s="4"/>
      <c r="N62" s="24">
        <f>IF(LEN(_xlfn.BASE(L57+L58+L59,2))&lt;&gt;1,MID(_xlfn.BASE(L57++L59,2),1,1),0)</f>
        <v>0</v>
      </c>
      <c r="O62" s="4"/>
      <c r="P62" s="4" t="s">
        <v>66</v>
      </c>
      <c r="Q62" s="4"/>
      <c r="R62" s="24">
        <f>IF(MOD(SUM(T60:AA60),2)=0,1,0)</f>
        <v>0</v>
      </c>
      <c r="S62" s="4"/>
      <c r="T62" s="4" t="s">
        <v>67</v>
      </c>
      <c r="U62" s="4"/>
      <c r="V62" s="24" t="str">
        <f>W57</f>
        <v>1</v>
      </c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7:48" x14ac:dyDescent="0.35">
      <c r="L63" s="4" t="s">
        <v>68</v>
      </c>
      <c r="M63" s="4"/>
      <c r="N63" s="24">
        <f>IF(SUM(L60:AA60)=0,1,0)</f>
        <v>0</v>
      </c>
      <c r="O63" s="4"/>
      <c r="P63" s="4" t="s">
        <v>69</v>
      </c>
      <c r="Q63" s="4"/>
      <c r="R63" s="24">
        <f>L60</f>
        <v>1</v>
      </c>
      <c r="S63" s="4"/>
      <c r="T63" s="26" t="s">
        <v>70</v>
      </c>
      <c r="U63" s="6"/>
      <c r="V63" s="4">
        <f>IF(AND(L58=L59,L60&lt;&gt;L59),1,0)</f>
        <v>0</v>
      </c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5" spans="7:48" x14ac:dyDescent="0.35">
      <c r="J65" s="6"/>
      <c r="K65" s="4" t="s">
        <v>61</v>
      </c>
      <c r="L65" s="23" t="str">
        <f t="shared" ref="L65:O65" si="102">IF(LEN(_xlfn.BASE(M67+M66+M65,2))&lt;&gt;1,MID(_xlfn.BASE(M67+M66+M65,2),1,1),0)</f>
        <v>1</v>
      </c>
      <c r="M65" s="25" t="str">
        <f t="shared" si="102"/>
        <v>1</v>
      </c>
      <c r="N65" s="23" t="str">
        <f t="shared" si="102"/>
        <v>1</v>
      </c>
      <c r="O65" s="22" t="str">
        <f t="shared" si="102"/>
        <v>1</v>
      </c>
      <c r="P65" s="23" t="str">
        <f>IF(LEN(_xlfn.BASE(Q67+Q66+Q65,2))&lt;&gt;1,MID(_xlfn.BASE(Q67+Q66+Q65,2),1,1),0)</f>
        <v>1</v>
      </c>
      <c r="Q65" s="23">
        <f t="shared" ref="Q65:AA65" si="103">IF(LEN(_xlfn.BASE(R67+R66+R65,2))&lt;&gt;1,MID(_xlfn.BASE(R67+R66+R65,2),1,1),0)</f>
        <v>0</v>
      </c>
      <c r="R65" s="23">
        <f t="shared" si="103"/>
        <v>0</v>
      </c>
      <c r="S65" s="22">
        <f t="shared" si="103"/>
        <v>0</v>
      </c>
      <c r="T65" s="23">
        <f t="shared" si="103"/>
        <v>0</v>
      </c>
      <c r="U65" s="23">
        <f t="shared" si="103"/>
        <v>0</v>
      </c>
      <c r="V65" s="23">
        <f t="shared" si="103"/>
        <v>0</v>
      </c>
      <c r="W65" s="22">
        <f t="shared" si="103"/>
        <v>0</v>
      </c>
      <c r="X65" s="23">
        <f t="shared" si="103"/>
        <v>0</v>
      </c>
      <c r="Y65" s="23">
        <f t="shared" si="103"/>
        <v>0</v>
      </c>
      <c r="Z65" s="23">
        <f t="shared" si="103"/>
        <v>0</v>
      </c>
      <c r="AA65" s="23">
        <f t="shared" si="103"/>
        <v>0</v>
      </c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7:48" x14ac:dyDescent="0.35">
      <c r="K66" s="4" t="s">
        <v>31</v>
      </c>
      <c r="L66" s="17">
        <f t="shared" ref="L66:Z66" si="104">L14</f>
        <v>1</v>
      </c>
      <c r="M66" s="17">
        <f t="shared" si="104"/>
        <v>0</v>
      </c>
      <c r="N66" s="17">
        <f t="shared" si="104"/>
        <v>1</v>
      </c>
      <c r="O66" s="17">
        <f t="shared" si="104"/>
        <v>0</v>
      </c>
      <c r="P66" s="17">
        <f t="shared" si="104"/>
        <v>1</v>
      </c>
      <c r="Q66" s="17">
        <f t="shared" si="104"/>
        <v>1</v>
      </c>
      <c r="R66" s="17">
        <f t="shared" si="104"/>
        <v>1</v>
      </c>
      <c r="S66" s="17">
        <f t="shared" si="104"/>
        <v>1</v>
      </c>
      <c r="T66" s="17">
        <f t="shared" si="104"/>
        <v>0</v>
      </c>
      <c r="U66" s="17">
        <f t="shared" si="104"/>
        <v>0</v>
      </c>
      <c r="V66" s="17">
        <f t="shared" si="104"/>
        <v>0</v>
      </c>
      <c r="W66" s="17">
        <f t="shared" si="104"/>
        <v>1</v>
      </c>
      <c r="X66" s="17">
        <f t="shared" si="104"/>
        <v>0</v>
      </c>
      <c r="Y66" s="17">
        <f t="shared" si="104"/>
        <v>1</v>
      </c>
      <c r="Z66" s="17" t="str">
        <f t="shared" si="104"/>
        <v>1</v>
      </c>
      <c r="AA66" s="17" t="str">
        <f>AA14</f>
        <v>0</v>
      </c>
      <c r="AB66" s="4"/>
      <c r="AC66" s="4"/>
      <c r="AD66" s="27" t="s">
        <v>86</v>
      </c>
      <c r="AE66" s="27"/>
      <c r="AF66" s="28" t="str">
        <f>IF(V71=0,IF(AC68=AD68,IF(N70=0,$BM$3,$BM$5),0),$BM$4)</f>
        <v>Результат корректный. Перенос из старшего разряда не учитывается</v>
      </c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</row>
    <row r="67" spans="7:48" ht="15" thickBot="1" x14ac:dyDescent="0.4">
      <c r="K67" s="3" t="s">
        <v>72</v>
      </c>
      <c r="L67" s="18">
        <f t="shared" ref="L67:Z67" si="105">L6</f>
        <v>0</v>
      </c>
      <c r="M67" s="18" t="str">
        <f t="shared" si="105"/>
        <v>1</v>
      </c>
      <c r="N67" s="18" t="str">
        <f t="shared" si="105"/>
        <v>1</v>
      </c>
      <c r="O67" s="18" t="str">
        <f t="shared" si="105"/>
        <v>1</v>
      </c>
      <c r="P67" s="18" t="str">
        <f t="shared" si="105"/>
        <v>1</v>
      </c>
      <c r="Q67" s="18" t="str">
        <f t="shared" si="105"/>
        <v>1</v>
      </c>
      <c r="R67" s="18" t="str">
        <f t="shared" si="105"/>
        <v>0</v>
      </c>
      <c r="S67" s="18" t="str">
        <f t="shared" si="105"/>
        <v>0</v>
      </c>
      <c r="T67" s="18" t="str">
        <f t="shared" si="105"/>
        <v>0</v>
      </c>
      <c r="U67" s="18" t="str">
        <f t="shared" si="105"/>
        <v>1</v>
      </c>
      <c r="V67" s="18" t="str">
        <f t="shared" si="105"/>
        <v>1</v>
      </c>
      <c r="W67" s="18" t="str">
        <f t="shared" si="105"/>
        <v>0</v>
      </c>
      <c r="X67" s="18" t="str">
        <f t="shared" si="105"/>
        <v>1</v>
      </c>
      <c r="Y67" s="18" t="str">
        <f t="shared" si="105"/>
        <v>0</v>
      </c>
      <c r="Z67" s="18" t="str">
        <f t="shared" si="105"/>
        <v>0</v>
      </c>
      <c r="AA67" s="18" t="str">
        <f>AA6</f>
        <v>0</v>
      </c>
      <c r="AB67" s="4"/>
      <c r="AC67" s="4"/>
      <c r="AD67" s="29" t="s">
        <v>74</v>
      </c>
      <c r="AE67" s="29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</row>
    <row r="68" spans="7:48" x14ac:dyDescent="0.35">
      <c r="L68" s="19">
        <f t="shared" ref="L68:AA68" si="106">IF(LEN(_xlfn.BASE(L67+L66+L65,2))&lt;&gt;1,MID(_xlfn.BASE(L67+L66+L65,2),2,1),L67+L66+L65)+0</f>
        <v>0</v>
      </c>
      <c r="M68" s="5">
        <f t="shared" si="106"/>
        <v>0</v>
      </c>
      <c r="N68" s="5">
        <f t="shared" si="106"/>
        <v>1</v>
      </c>
      <c r="O68" s="19">
        <f t="shared" si="106"/>
        <v>0</v>
      </c>
      <c r="P68" s="5">
        <f t="shared" si="106"/>
        <v>1</v>
      </c>
      <c r="Q68" s="5">
        <f t="shared" si="106"/>
        <v>0</v>
      </c>
      <c r="R68" s="5">
        <f t="shared" si="106"/>
        <v>1</v>
      </c>
      <c r="S68" s="19">
        <f t="shared" si="106"/>
        <v>1</v>
      </c>
      <c r="T68" s="5">
        <f t="shared" si="106"/>
        <v>0</v>
      </c>
      <c r="U68" s="5">
        <f t="shared" si="106"/>
        <v>1</v>
      </c>
      <c r="V68" s="5">
        <f t="shared" si="106"/>
        <v>1</v>
      </c>
      <c r="W68" s="19">
        <f t="shared" si="106"/>
        <v>1</v>
      </c>
      <c r="X68" s="5">
        <f t="shared" si="106"/>
        <v>1</v>
      </c>
      <c r="Y68" s="5">
        <f t="shared" si="106"/>
        <v>1</v>
      </c>
      <c r="Z68" s="5">
        <f t="shared" si="106"/>
        <v>1</v>
      </c>
      <c r="AA68" s="5">
        <f t="shared" si="106"/>
        <v>0</v>
      </c>
      <c r="AB68" s="3" t="s">
        <v>64</v>
      </c>
      <c r="AC68" s="5">
        <f>IF(R71+0=0,BIN2DEC(LEFT(_xlfn.CONCAT(M68:AA68),7))*2^8+BIN2DEC(RIGHT(_xlfn.CONCAT(M68:AA68),8)),0-BIN2DEC(LEFT(_xlfn.CONCAT(M69:AA69),7))*2^8-BIN2DEC(RIGHT(_xlfn.CONCAT(M69:AA69),8)))</f>
        <v>11134</v>
      </c>
      <c r="AD68" s="27">
        <f>C14+C6</f>
        <v>11134</v>
      </c>
      <c r="AE68" s="27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</row>
    <row r="69" spans="7:48" x14ac:dyDescent="0.35">
      <c r="G69" s="4" t="s">
        <v>55</v>
      </c>
      <c r="H69" s="6" cm="1">
        <f t="array" ref="H69">SEARCH(1,_xlfn.CONCAT(MID(_xlfn.CONCAT(M68:AA68),_xlfn.SEQUENCE(LEN(_xlfn.CONCAT(M68:AA68)),,LEN(_xlfn.CONCAT(M68:AA68)),-1),1)))-1</f>
        <v>1</v>
      </c>
      <c r="J69" s="4" t="s">
        <v>76</v>
      </c>
      <c r="L69" s="5" t="str">
        <f>IF(L68+0=1,1,"")</f>
        <v/>
      </c>
      <c r="M69" s="5" t="str">
        <f>IF($L68+0=1,IF(M$3&lt;=$H69,M68,1-M68),"")</f>
        <v/>
      </c>
      <c r="N69" s="5" t="str">
        <f t="shared" ref="N69" si="107">IF($L68+0=1,IF(N$3&lt;=$H69,N68,1-N68),"")</f>
        <v/>
      </c>
      <c r="O69" s="5" t="str">
        <f t="shared" ref="O69" si="108">IF($L68+0=1,IF(O$3&lt;=$H69,O68,1-O68),"")</f>
        <v/>
      </c>
      <c r="P69" s="5" t="str">
        <f t="shared" ref="P69" si="109">IF($L68+0=1,IF(P$3&lt;=$H69,P68,1-P68),"")</f>
        <v/>
      </c>
      <c r="Q69" s="5" t="str">
        <f t="shared" ref="Q69" si="110">IF($L68+0=1,IF(Q$3&lt;=$H69,Q68,1-Q68),"")</f>
        <v/>
      </c>
      <c r="R69" s="5" t="str">
        <f t="shared" ref="R69" si="111">IF($L68+0=1,IF(R$3&lt;=$H69,R68,1-R68),"")</f>
        <v/>
      </c>
      <c r="S69" s="5" t="str">
        <f t="shared" ref="S69" si="112">IF($L68+0=1,IF(S$3&lt;=$H69,S68,1-S68),"")</f>
        <v/>
      </c>
      <c r="T69" s="5" t="str">
        <f t="shared" ref="T69" si="113">IF($L68+0=1,IF(T$3&lt;=$H69,T68,1-T68),"")</f>
        <v/>
      </c>
      <c r="U69" s="5" t="str">
        <f t="shared" ref="U69" si="114">IF($L68+0=1,IF(U$3&lt;=$H69,U68,1-U68),"")</f>
        <v/>
      </c>
      <c r="V69" s="5" t="str">
        <f t="shared" ref="V69" si="115">IF($L68+0=1,IF(V$3&lt;=$H69,V68,1-V68),"")</f>
        <v/>
      </c>
      <c r="W69" s="5" t="str">
        <f t="shared" ref="W69" si="116">IF($L68+0=1,IF(W$3&lt;=$H69,W68,1-W68),"")</f>
        <v/>
      </c>
      <c r="X69" s="5" t="str">
        <f t="shared" ref="X69" si="117">IF($L68+0=1,IF(X$3&lt;=$H69,X68,1-X68),"")</f>
        <v/>
      </c>
      <c r="Y69" s="5" t="str">
        <f t="shared" ref="Y69" si="118">IF($L68+0=1,IF(Y$3&lt;=$H69,Y68,1-Y68),"")</f>
        <v/>
      </c>
      <c r="Z69" s="5" t="str">
        <f t="shared" ref="Z69" si="119">IF($L68+0=1,IF(Z$3&lt;=$H69,Z68,1-Z68),"")</f>
        <v/>
      </c>
      <c r="AA69" s="5" t="str">
        <f t="shared" ref="AA69" si="120">IF($L68+0=1,IF(AA$3&lt;=$H69,AA68,1-AA68),"")</f>
        <v/>
      </c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7:48" x14ac:dyDescent="0.35">
      <c r="L70" s="4" t="s">
        <v>65</v>
      </c>
      <c r="M70" s="4"/>
      <c r="N70" s="24" t="str">
        <f>IF(LEN(_xlfn.BASE(L65+L66+L67,2))&lt;&gt;1,MID(_xlfn.BASE(L65++L67,2),1,1),0)</f>
        <v>1</v>
      </c>
      <c r="O70" s="4"/>
      <c r="P70" s="4" t="s">
        <v>66</v>
      </c>
      <c r="Q70" s="4"/>
      <c r="R70" s="24">
        <f>IF(MOD(SUM(T68:AA68),2)=0,1,0)</f>
        <v>1</v>
      </c>
      <c r="S70" s="4"/>
      <c r="T70" s="4" t="s">
        <v>67</v>
      </c>
      <c r="U70" s="4"/>
      <c r="V70" s="24">
        <f>W65</f>
        <v>0</v>
      </c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7:48" x14ac:dyDescent="0.35">
      <c r="L71" s="4" t="s">
        <v>68</v>
      </c>
      <c r="M71" s="4"/>
      <c r="N71" s="24">
        <f>IF(SUM(L68:AA68)=0,1,0)</f>
        <v>0</v>
      </c>
      <c r="O71" s="4"/>
      <c r="P71" s="4" t="s">
        <v>69</v>
      </c>
      <c r="Q71" s="4"/>
      <c r="R71" s="24">
        <f>L68</f>
        <v>0</v>
      </c>
      <c r="S71" s="4"/>
      <c r="T71" s="26" t="s">
        <v>70</v>
      </c>
      <c r="U71" s="6"/>
      <c r="V71" s="4">
        <f>IF(AND(L66=L67,L68&lt;&gt;L67),1,0)</f>
        <v>0</v>
      </c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</sheetData>
  <mergeCells count="31">
    <mergeCell ref="L2:AA2"/>
    <mergeCell ref="AD2:AS2"/>
    <mergeCell ref="AU2:BJ2"/>
    <mergeCell ref="AD20:AE20"/>
    <mergeCell ref="AD18:AE18"/>
    <mergeCell ref="AD19:AE19"/>
    <mergeCell ref="AF18:AV20"/>
    <mergeCell ref="AD26:AE26"/>
    <mergeCell ref="AF26:AV28"/>
    <mergeCell ref="AD27:AE27"/>
    <mergeCell ref="AD28:AE28"/>
    <mergeCell ref="AD34:AE34"/>
    <mergeCell ref="AF34:AV36"/>
    <mergeCell ref="AD35:AE35"/>
    <mergeCell ref="AD36:AE36"/>
    <mergeCell ref="AD42:AE42"/>
    <mergeCell ref="AF42:AV44"/>
    <mergeCell ref="AD43:AE43"/>
    <mergeCell ref="AD44:AE44"/>
    <mergeCell ref="AD50:AE50"/>
    <mergeCell ref="AF50:AV52"/>
    <mergeCell ref="AD51:AE51"/>
    <mergeCell ref="AD52:AE52"/>
    <mergeCell ref="AD58:AE58"/>
    <mergeCell ref="AF58:AV60"/>
    <mergeCell ref="AD59:AE59"/>
    <mergeCell ref="AD60:AE60"/>
    <mergeCell ref="AD66:AE66"/>
    <mergeCell ref="AF66:AV68"/>
    <mergeCell ref="AD67:AE67"/>
    <mergeCell ref="AD68:AE68"/>
  </mergeCells>
  <phoneticPr fontId="1" type="noConversion"/>
  <pageMargins left="0.7" right="0.7" top="0.75" bottom="0.75" header="0.3" footer="0.3"/>
  <pageSetup paperSize="9" orientation="portrait" r:id="rId1"/>
  <headerFooter>
    <oddHeader xml:space="preserve">&amp;LГорелов Илья Александрович
Вариант №22&amp;C&amp;F
</oddHeader>
    <oddFooter>&amp;CФайл создан: 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Горелов</dc:creator>
  <cp:lastModifiedBy>Илья Горелов</cp:lastModifiedBy>
  <dcterms:created xsi:type="dcterms:W3CDTF">2025-11-13T11:07:36Z</dcterms:created>
  <dcterms:modified xsi:type="dcterms:W3CDTF">2025-11-16T17:57:51Z</dcterms:modified>
</cp:coreProperties>
</file>